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reference BCE du 20/08/2026 : 1 EUR = 20 788,62 IDR (source : api.frankfurter.dev). A actualiser au taux du jour.</t>
      </text>
    </comment>
    <comment ref="B15" authorId="0" shapeId="0">
      <text>
        <t>Choisir FREEHOLD ou LEASEHOLD dans la liste deroulante.
FREEHOLD -&gt; le prix du terrain utilise B18 (prix a l'are, sans duree).
LEASEHOLD -&gt; le prix du terrain utilise B19 x B20 (prix a l'are et par an x duree).</t>
      </text>
    </comment>
    <comment ref="C23" authorId="0" shapeId="0">
      <text>
        <t>FREEHOLD : surface x prix a l'are (B16 x B18).
LEASEHOLD : surface x prix a l'are et par an x duree (B16 x B19 x B20).</t>
      </text>
    </comment>
    <comment ref="C25" authorId="0" shapeId="0">
      <text>
        <t>MAX entre le pourcentage d'honoraires et le forfait minimum : si le pourcentage donne moins de 10 000 000 IDR, c'est le forfait qui s'applique.
La colonne Taux affiche le taux reellement supporte.</t>
      </text>
    </comment>
    <comment ref="B31" authorId="0" shapeId="0">
      <text>
        <t>Case a cocher : OUI ajoute les 2 000 EUR de creation de la PT PMA (cellule B12) a l'investissement, NON les retire.</t>
      </text>
    </comment>
    <comment ref="B36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37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38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39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0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3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4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5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6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  <comment ref="B47" authorId="0" shapeId="0">
      <text>
        <t>Saisir le montant en EUR. Laisser vide si la ligne n'est pas utilisee.
Pour un devis exprime en IDR, saisir la formule =montant_IDR/$B$7.
La colonne E permet de nommer la ligne (villa 1, piscine, pool house...).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20" customWidth="1" min="3" max="3"/>
    <col width="16" customWidth="1" min="4" max="4"/>
    <col width="26" customWidth="1" min="5" max="5"/>
  </cols>
  <sheetData>
    <row r="1">
      <c r="A1" s="1" t="inlineStr">
        <is>
          <t>PROJECTION DE PROJET - VILLA</t>
        </is>
      </c>
    </row>
    <row r="2">
      <c r="A2" s="2" t="inlineStr">
        <is>
          <t>Client :</t>
        </is>
      </c>
    </row>
    <row r="3">
      <c r="A3" s="2" t="inlineStr">
        <is>
          <t>Terrain / localisation :</t>
        </is>
      </c>
    </row>
    <row r="4">
      <c r="A4" s="2" t="inlineStr">
        <is>
          <t>Date :</t>
        </is>
      </c>
    </row>
    <row r="6">
      <c r="A6" s="1" t="inlineStr">
        <is>
          <t>PARAMETRES GENERAUX (cellules a modifier)</t>
        </is>
      </c>
    </row>
    <row r="7">
      <c r="A7" s="2" t="inlineStr">
        <is>
          <t>Taux de change (IDR pour 1 EUR)</t>
        </is>
      </c>
      <c r="B7" s="3" t="n">
        <v>20788.62</v>
      </c>
    </row>
    <row r="8">
      <c r="A8" s="2" t="inlineStr">
        <is>
          <t>Taxes gouvernementales (% du prix du terrain)</t>
        </is>
      </c>
      <c r="B8" s="4" t="n">
        <v>0.05</v>
      </c>
    </row>
    <row r="9">
      <c r="A9" s="2" t="inlineStr">
        <is>
          <t>Honoraires du notaire (% du prix du terrain)</t>
        </is>
      </c>
      <c r="B9" s="4" t="n">
        <v>0.01</v>
      </c>
    </row>
    <row r="10">
      <c r="A10" s="2" t="inlineStr">
        <is>
          <t>Honoraires du notaire - forfait minimum (IDR)</t>
        </is>
      </c>
      <c r="B10" s="5" t="n">
        <v>10000000</v>
      </c>
    </row>
    <row r="11">
      <c r="A11" s="2" t="inlineStr">
        <is>
          <t>Frais de geometre (EUR)</t>
        </is>
      </c>
      <c r="B11" s="3" t="n">
        <v>1000</v>
      </c>
    </row>
    <row r="12">
      <c r="A12" s="2" t="inlineStr">
        <is>
          <t>Cout de creation de la PT PMA (EUR)</t>
        </is>
      </c>
      <c r="B12" s="3" t="n">
        <v>2000</v>
      </c>
    </row>
    <row r="14">
      <c r="A14" s="1" t="inlineStr">
        <is>
          <t>1. COUT FONCIER</t>
        </is>
      </c>
    </row>
    <row r="15">
      <c r="A15" s="2" t="inlineStr">
        <is>
          <t>Option retenue : FREEHOLD ou LEASEHOLD</t>
        </is>
      </c>
      <c r="B15" s="2" t="inlineStr">
        <is>
          <t>LEASEHOLD</t>
        </is>
      </c>
    </row>
    <row r="16">
      <c r="A16" s="2" t="inlineStr">
        <is>
          <t>Surface du terrain (ares)</t>
        </is>
      </c>
      <c r="B16" s="3" t="n">
        <v>6</v>
      </c>
    </row>
    <row r="17">
      <c r="A17" s="2" t="inlineStr">
        <is>
          <t>Surface du terrain (m2)</t>
        </is>
      </c>
      <c r="B17" s="5">
        <f>B16*100</f>
        <v/>
      </c>
    </row>
    <row r="18">
      <c r="A18" s="2" t="inlineStr">
        <is>
          <t>Prix FREEHOLD - client avec commission (IDR / are)</t>
        </is>
      </c>
      <c r="B18" s="5" t="n"/>
    </row>
    <row r="19">
      <c r="A19" s="2" t="inlineStr">
        <is>
          <t>Prix LEASEHOLD - client avec commission (IDR / are / an)</t>
        </is>
      </c>
      <c r="B19" s="5" t="n">
        <v>5000000</v>
      </c>
    </row>
    <row r="20">
      <c r="A20" s="2" t="inlineStr">
        <is>
          <t>Duree du leasehold (annees)</t>
        </is>
      </c>
      <c r="B20" s="5" t="n">
        <v>30</v>
      </c>
    </row>
    <row r="22">
      <c r="A22" s="1" t="inlineStr">
        <is>
          <t>Poste</t>
        </is>
      </c>
      <c r="B22" s="1" t="inlineStr">
        <is>
          <t>Taux</t>
        </is>
      </c>
      <c r="C22" s="1" t="inlineStr">
        <is>
          <t>Montant IDR</t>
        </is>
      </c>
      <c r="D22" s="1" t="inlineStr">
        <is>
          <t>Montant EUR</t>
        </is>
      </c>
    </row>
    <row r="23">
      <c r="A23" s="2" t="inlineStr">
        <is>
          <t>Prix du terrain (selon l'option retenue)</t>
        </is>
      </c>
      <c r="C23" s="5">
        <f>IF($B$15="FREEHOLD",$B$16*$B$18,$B$16*$B$19*$B$20)</f>
        <v/>
      </c>
      <c r="D23" s="3">
        <f>C23/$B$7</f>
        <v/>
      </c>
    </row>
    <row r="24">
      <c r="A24" s="2" t="inlineStr">
        <is>
          <t>Taxes gouvernementales (5% du prix du terrain)</t>
        </is>
      </c>
      <c r="B24" s="4">
        <f>$B$8</f>
        <v/>
      </c>
      <c r="C24" s="5">
        <f>C23*$B$8</f>
        <v/>
      </c>
      <c r="D24" s="3">
        <f>C24/$B$7</f>
        <v/>
      </c>
    </row>
    <row r="25">
      <c r="A25" s="2" t="inlineStr">
        <is>
          <t>Honoraires du notaire (1%, minimum 10 000 000 IDR)</t>
        </is>
      </c>
      <c r="B25" s="4">
        <f>IF(C23=0,0,C25/C23)</f>
        <v/>
      </c>
      <c r="C25" s="5">
        <f>MAX(C23*$B$9,$B$10)</f>
        <v/>
      </c>
      <c r="D25" s="3">
        <f>C25/$B$7</f>
        <v/>
      </c>
    </row>
    <row r="26">
      <c r="A26" s="2" t="inlineStr">
        <is>
          <t>Sous-total frais de notaire (taxes + honoraires)</t>
        </is>
      </c>
      <c r="B26" s="4">
        <f>IF(C23=0,0,C26/C23)</f>
        <v/>
      </c>
      <c r="C26" s="5">
        <f>C24+C25</f>
        <v/>
      </c>
      <c r="D26" s="3">
        <f>C26/$B$7</f>
        <v/>
      </c>
    </row>
    <row r="27">
      <c r="A27" s="2" t="inlineStr">
        <is>
          <t>Frais de geometre (forfait)</t>
        </is>
      </c>
      <c r="C27" s="5">
        <f>$B$11*$B$7</f>
        <v/>
      </c>
      <c r="D27" s="3">
        <f>$B$11</f>
        <v/>
      </c>
    </row>
    <row r="28">
      <c r="A28" s="1" t="inlineStr">
        <is>
          <t>COUT FONCIER TOTAL</t>
        </is>
      </c>
      <c r="C28" s="6">
        <f>C23+C26+C27</f>
        <v/>
      </c>
      <c r="D28" s="7">
        <f>C28/$B$7</f>
        <v/>
      </c>
    </row>
    <row r="30">
      <c r="A30" s="1" t="inlineStr">
        <is>
          <t>2. INVESTISSEMENT A CONSENTIR</t>
        </is>
      </c>
    </row>
    <row r="31">
      <c r="A31" s="2" t="inlineStr">
        <is>
          <t>Creation de la PT PMA - a inclure ? (OUI / NON)</t>
        </is>
      </c>
      <c r="B31" s="2" t="inlineStr">
        <is>
          <t>OUI</t>
        </is>
      </c>
    </row>
    <row r="33">
      <c r="A33" s="1" t="inlineStr">
        <is>
          <t>Poste</t>
        </is>
      </c>
      <c r="B33" s="1" t="inlineStr">
        <is>
          <t>Saisie (EUR)</t>
        </is>
      </c>
      <c r="C33" s="1" t="inlineStr">
        <is>
          <t>Montant IDR</t>
        </is>
      </c>
      <c r="D33" s="1" t="inlineStr">
        <is>
          <t>Montant EUR</t>
        </is>
      </c>
      <c r="E33" s="1" t="inlineStr">
        <is>
          <t>Designation (libre)</t>
        </is>
      </c>
    </row>
    <row r="34">
      <c r="A34" s="2" t="inlineStr">
        <is>
          <t>Cout foncier (report du tableau 1)</t>
        </is>
      </c>
      <c r="C34" s="5">
        <f>C28</f>
        <v/>
      </c>
      <c r="D34" s="3">
        <f>C34/$B$7</f>
        <v/>
      </c>
    </row>
    <row r="36">
      <c r="A36" s="2" t="inlineStr">
        <is>
          <t>Construction 1</t>
        </is>
      </c>
      <c r="B36" s="3" t="n"/>
      <c r="C36" s="5">
        <f>B36*$B$7</f>
        <v/>
      </c>
      <c r="D36" s="3">
        <f>B36</f>
        <v/>
      </c>
    </row>
    <row r="37">
      <c r="A37" s="2" t="inlineStr">
        <is>
          <t>Construction 2</t>
        </is>
      </c>
      <c r="B37" s="3" t="n"/>
      <c r="C37" s="5">
        <f>B37*$B$7</f>
        <v/>
      </c>
      <c r="D37" s="3">
        <f>B37</f>
        <v/>
      </c>
    </row>
    <row r="38">
      <c r="A38" s="2" t="inlineStr">
        <is>
          <t>Construction 3</t>
        </is>
      </c>
      <c r="B38" s="3" t="n"/>
      <c r="C38" s="5">
        <f>B38*$B$7</f>
        <v/>
      </c>
      <c r="D38" s="3">
        <f>B38</f>
        <v/>
      </c>
    </row>
    <row r="39">
      <c r="A39" s="2" t="inlineStr">
        <is>
          <t>Construction 4</t>
        </is>
      </c>
      <c r="B39" s="3" t="n"/>
      <c r="C39" s="5">
        <f>B39*$B$7</f>
        <v/>
      </c>
      <c r="D39" s="3">
        <f>B39</f>
        <v/>
      </c>
    </row>
    <row r="40">
      <c r="A40" s="2" t="inlineStr">
        <is>
          <t>Construction 5</t>
        </is>
      </c>
      <c r="B40" s="3" t="n"/>
      <c r="C40" s="5">
        <f>B40*$B$7</f>
        <v/>
      </c>
      <c r="D40" s="3">
        <f>B40</f>
        <v/>
      </c>
    </row>
    <row r="41">
      <c r="A41" s="1" t="inlineStr">
        <is>
          <t>SOUS-TOTAL CONSTRUCTION</t>
        </is>
      </c>
      <c r="C41" s="6">
        <f>SUM(C36:C40)</f>
        <v/>
      </c>
      <c r="D41" s="7">
        <f>C41/$B$7</f>
        <v/>
      </c>
    </row>
    <row r="43">
      <c r="A43" s="2" t="inlineStr">
        <is>
          <t>Ameublement 1</t>
        </is>
      </c>
      <c r="B43" s="3" t="n"/>
      <c r="C43" s="5">
        <f>B43*$B$7</f>
        <v/>
      </c>
      <c r="D43" s="3">
        <f>B43</f>
        <v/>
      </c>
    </row>
    <row r="44">
      <c r="A44" s="2" t="inlineStr">
        <is>
          <t>Ameublement 2</t>
        </is>
      </c>
      <c r="B44" s="3" t="n"/>
      <c r="C44" s="5">
        <f>B44*$B$7</f>
        <v/>
      </c>
      <c r="D44" s="3">
        <f>B44</f>
        <v/>
      </c>
    </row>
    <row r="45">
      <c r="A45" s="2" t="inlineStr">
        <is>
          <t>Ameublement 3</t>
        </is>
      </c>
      <c r="B45" s="3" t="n"/>
      <c r="C45" s="5">
        <f>B45*$B$7</f>
        <v/>
      </c>
      <c r="D45" s="3">
        <f>B45</f>
        <v/>
      </c>
    </row>
    <row r="46">
      <c r="A46" s="2" t="inlineStr">
        <is>
          <t>Ameublement 4</t>
        </is>
      </c>
      <c r="B46" s="3" t="n"/>
      <c r="C46" s="5">
        <f>B46*$B$7</f>
        <v/>
      </c>
      <c r="D46" s="3">
        <f>B46</f>
        <v/>
      </c>
    </row>
    <row r="47">
      <c r="A47" s="2" t="inlineStr">
        <is>
          <t>Ameublement 5</t>
        </is>
      </c>
      <c r="B47" s="3" t="n"/>
      <c r="C47" s="5">
        <f>B47*$B$7</f>
        <v/>
      </c>
      <c r="D47" s="3">
        <f>B47</f>
        <v/>
      </c>
    </row>
    <row r="48">
      <c r="A48" s="1" t="inlineStr">
        <is>
          <t>SOUS-TOTAL AMEUBLEMENT</t>
        </is>
      </c>
      <c r="C48" s="6">
        <f>SUM(C43:C47)</f>
        <v/>
      </c>
      <c r="D48" s="7">
        <f>C48/$B$7</f>
        <v/>
      </c>
    </row>
    <row r="50">
      <c r="A50" s="2" t="inlineStr">
        <is>
          <t>Creation de la PT PMA (si OUI en B31)</t>
        </is>
      </c>
      <c r="B50" s="3">
        <f>IF($B$31="OUI",$B$12,0)</f>
        <v/>
      </c>
      <c r="C50" s="5">
        <f>B50*$B$7</f>
        <v/>
      </c>
      <c r="D50" s="3">
        <f>B50</f>
        <v/>
      </c>
    </row>
    <row r="51">
      <c r="A51" s="1" t="inlineStr">
        <is>
          <t>INVESTISSEMENT TOTAL</t>
        </is>
      </c>
      <c r="C51" s="6">
        <f>C34+C41+C48+C50</f>
        <v/>
      </c>
      <c r="D51" s="7">
        <f>C51/$B$7</f>
        <v/>
      </c>
    </row>
    <row r="53">
      <c r="A53" s="1" t="inlineStr">
        <is>
          <t>3. REVENUS PREVISIONNELS DE LA VILLA</t>
        </is>
      </c>
    </row>
    <row r="54">
      <c r="A54" s="2" t="inlineStr">
        <is>
          <t>Taux d'occupation previsionnel</t>
        </is>
      </c>
      <c r="B54" s="4" t="n">
        <v>0.65</v>
      </c>
    </row>
    <row r="55">
      <c r="A55" s="2" t="inlineStr">
        <is>
          <t>Prix moyen de la nuitee (EUR)</t>
        </is>
      </c>
      <c r="B55" s="3" t="n">
        <v>250</v>
      </c>
    </row>
    <row r="56">
      <c r="A56" s="2" t="inlineStr">
        <is>
          <t>Nombre de nuits commercialisables / an</t>
        </is>
      </c>
      <c r="B56" s="5" t="n">
        <v>365</v>
      </c>
    </row>
    <row r="57">
      <c r="A57" s="2" t="inlineStr">
        <is>
          <t>Charges d'exploitation (% du revenu brut)</t>
        </is>
      </c>
      <c r="B57" s="4" t="n">
        <v>0.3</v>
      </c>
    </row>
    <row r="59">
      <c r="A59" s="1" t="inlineStr">
        <is>
          <t>Poste</t>
        </is>
      </c>
      <c r="C59" s="1" t="inlineStr">
        <is>
          <t>Montant IDR</t>
        </is>
      </c>
      <c r="D59" s="1" t="inlineStr">
        <is>
          <t>Montant EUR</t>
        </is>
      </c>
    </row>
    <row r="60">
      <c r="A60" s="2" t="inlineStr">
        <is>
          <t>Nuits occupees par an</t>
        </is>
      </c>
      <c r="B60" s="8">
        <f>B56*B54</f>
        <v/>
      </c>
    </row>
    <row r="61">
      <c r="A61" s="1" t="inlineStr">
        <is>
          <t>REVENUS BRUTS ANNUELS</t>
        </is>
      </c>
      <c r="C61" s="6">
        <f>D61*$B$7</f>
        <v/>
      </c>
      <c r="D61" s="7">
        <f>B60*$B$55</f>
        <v/>
      </c>
    </row>
    <row r="62">
      <c r="A62" s="2" t="inlineStr">
        <is>
          <t>Charges d'exploitation (% du revenu brut)</t>
        </is>
      </c>
      <c r="B62" s="4">
        <f>$B$57</f>
        <v/>
      </c>
      <c r="C62" s="5">
        <f>C61*$B$57</f>
        <v/>
      </c>
      <c r="D62" s="3">
        <f>C62/$B$7</f>
        <v/>
      </c>
    </row>
    <row r="63">
      <c r="A63" s="1" t="inlineStr">
        <is>
          <t>REVENUS NETS ANNUELS</t>
        </is>
      </c>
      <c r="C63" s="6">
        <f>C61-C62</f>
        <v/>
      </c>
      <c r="D63" s="7">
        <f>C63/$B$7</f>
        <v/>
      </c>
    </row>
    <row r="65">
      <c r="A65" s="1" t="inlineStr">
        <is>
          <t>INDICATEURS</t>
        </is>
      </c>
    </row>
    <row r="66">
      <c r="A66" s="2" t="inlineStr">
        <is>
          <t>Rendement brut (revenus bruts / investissement total)</t>
        </is>
      </c>
      <c r="B66" s="4">
        <f>IF(C51=0,0,C61/C51)</f>
        <v/>
      </c>
    </row>
    <row r="67">
      <c r="A67" s="2" t="inlineStr">
        <is>
          <t>Rendement net (revenus nets / investissement total)</t>
        </is>
      </c>
      <c r="B67" s="4">
        <f>IF(C51=0,0,C63/C51)</f>
        <v/>
      </c>
    </row>
    <row r="68">
      <c r="A68" s="2" t="inlineStr">
        <is>
          <t>Retour sur investissement (annees)</t>
        </is>
      </c>
      <c r="B68" s="8">
        <f>IF(C63=0,0,C51/C63)</f>
        <v/>
      </c>
    </row>
    <row r="70">
      <c r="A70" s="1" t="inlineStr">
        <is>
          <t>NOTES / HYPOTHESES</t>
        </is>
      </c>
    </row>
    <row r="71">
      <c r="A71" s="2" t="inlineStr">
        <is>
          <t>Tableau 1 : le choix FREEHOLD / LEASEHOLD en B15 pilote le calcul du prix du terrain. Le prix inutilise (B18 ou B19/B20) est simplement ignore.</t>
        </is>
      </c>
    </row>
    <row r="72">
      <c r="A72" s="2" t="inlineStr">
        <is>
          <t>1 are = 100 m2. Prix freehold exprime en IDR par are ; prix leasehold en IDR par are et par an, multiplie par la duree du bail.</t>
        </is>
      </c>
    </row>
    <row r="73">
      <c r="A73" s="2" t="inlineStr">
        <is>
          <t>Frais d'acquisition identiques dans les deux options : taxes gouvernementales 5% (B8) + honoraires du notaire 1% (B9) avec un forfait plancher de 10 000 000 IDR (B10), plus le geometre (B11).</t>
        </is>
      </c>
    </row>
    <row r="74">
      <c r="A74" s="2" t="inlineStr">
        <is>
          <t>Tableau 2 : le cout foncier est repris automatiquement du tableau 1.</t>
        </is>
      </c>
    </row>
    <row r="75">
      <c r="A75" s="2" t="inlineStr">
        <is>
          <t>Cinq lignes de construction (36 a 40) et cinq lignes d'ameublement (43 a 47) sont disponibles : n'en remplir que le nombre necessaire, les lignes vides comptent pour zero. La colonne E sert a nommer chaque ligne (villa 1, piscine, pool house, lot mobilier...).</t>
        </is>
      </c>
    </row>
    <row r="76">
      <c r="A76" s="2" t="inlineStr">
        <is>
          <t>Constructions et ameublements se saisissent en EUR (colonne B) ; pour un devis en IDR, saisir =montant_IDR/$B$7. Les sous-totaux des lignes 41 et 48 alimentent l'investissement total.</t>
        </is>
      </c>
    </row>
    <row r="77">
      <c r="A77" s="2" t="inlineStr">
        <is>
          <t>La creation de la PT PMA (2 000 EUR, cellule B12) s'ajoute a l'investissement uniquement si B31 = OUI.</t>
        </is>
      </c>
    </row>
    <row r="78">
      <c r="A78" s="2" t="inlineStr">
        <is>
          <t>Tableau 3 : revenus bruts = nuits commercialisables x taux d'occupation x prix de la nuitee. Les charges sont un pourcentage du revenu brut ; les revenus nets en decoulent.</t>
        </is>
      </c>
    </row>
    <row r="79">
      <c r="A79" s="2" t="inlineStr">
        <is>
          <t>Taux de change en B7 : reference BCE du 20/08/2026 (1 EUR = 20 788,62 IDR). A actualiser avant presentation au client.</t>
        </is>
      </c>
    </row>
    <row r="80">
      <c r="A80" s="2" t="inlineStr">
        <is>
          <t>Cellules a saisir : B7 a B12 (parametres), B15 a B20 (terrain), B31 (PT PMA), B36 a B47 (constructions et ameublements), B54 a B57 (exploitation). Tout le reste est calcule par formules.</t>
        </is>
      </c>
    </row>
    <row r="81">
      <c r="A81" s="2" t="inlineStr">
        <is>
          <t>Projection previsionnelle a but indicatif : elle n'integre ni la fiscalite indonesienne sur les revenus locatifs, ni l'amortissement, ni les frais de gestion au-dela du pourcentage de charges saisi.</t>
        </is>
      </c>
    </row>
  </sheetData>
  <dataValidations count="2">
    <dataValidation sqref="B15" showDropDown="0" showInputMessage="0" showErrorMessage="0" allowBlank="0" type="list">
      <formula1>"FREEHOLD,LEASEHOLD"</formula1>
    </dataValidation>
    <dataValidation sqref="B31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2026-08-30T06:06:26Z</dcterms:created>
  <dcterms:modified xsi:type="dcterms:W3CDTF">2026-08-30T06:06:26Z</dcterms:modified>
</cp:coreProperties>
</file>