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jection" sheetId="1" state="visible" r:id="rId1"/>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4">
    <font>
      <name val="Calibri"/>
      <family val="2"/>
      <color theme="1"/>
      <sz val="11"/>
      <scheme val="minor"/>
    </font>
    <font>
      <name val="Arial"/>
      <b val="1"/>
      <sz val="11"/>
    </font>
    <font>
      <name val="Arial"/>
      <sz val="11"/>
    </font>
    <font>
      <name val="Arial"/>
      <i val="1"/>
      <color rgb="00808080"/>
      <sz val="10"/>
    </font>
  </fonts>
  <fills count="2">
    <fill>
      <patternFill/>
    </fill>
    <fill>
      <patternFill patternType="gray125"/>
    </fill>
  </fills>
  <borders count="1">
    <border>
      <left/>
      <right/>
      <top/>
      <bottom/>
      <diagonal/>
    </border>
  </borders>
  <cellStyleXfs count="1">
    <xf numFmtId="0" fontId="0" fillId="0" borderId="0"/>
  </cellStyleXfs>
  <cellXfs count="12">
    <xf numFmtId="0" fontId="0" fillId="0" borderId="0" pivotButton="0" quotePrefix="0" xfId="0"/>
    <xf numFmtId="0" fontId="1" fillId="0" borderId="0" pivotButton="0" quotePrefix="0" xfId="0"/>
    <xf numFmtId="0" fontId="2" fillId="0" borderId="0" pivotButton="0" quotePrefix="0" xfId="0"/>
    <xf numFmtId="4" fontId="2" fillId="0" borderId="0" pivotButton="0" quotePrefix="0" xfId="0"/>
    <xf numFmtId="164" fontId="2" fillId="0" borderId="0" pivotButton="0" quotePrefix="0" xfId="0"/>
    <xf numFmtId="3" fontId="2" fillId="0" borderId="0" pivotButton="0" quotePrefix="0" xfId="0"/>
    <xf numFmtId="0" fontId="3" fillId="0" borderId="0" pivotButton="0" quotePrefix="0" xfId="0"/>
    <xf numFmtId="164" fontId="1" fillId="0" borderId="0" pivotButton="0" quotePrefix="0" xfId="0"/>
    <xf numFmtId="3" fontId="1" fillId="0" borderId="0" pivotButton="0" quotePrefix="0" xfId="0"/>
    <xf numFmtId="4" fontId="1" fillId="0" borderId="0" pivotButton="0" quotePrefix="0" xfId="0"/>
    <xf numFmtId="165" fontId="2" fillId="0" borderId="0" pivotButton="0" quotePrefix="0" xfId="0"/>
    <xf numFmtId="165" fontId="1" fillId="0" borderId="0" pivotButton="0" quotePrefix="0" xfId="0"/>
  </cellXfs>
  <cellStyles count="1">
    <cellStyle name="Normal" xfId="0" builtinId="0" hidden="0"/>
  </cellStyles>
  <dxfs count="1">
    <dxf>
      <font>
        <i val="1"/>
        <color rgb="00A6A6A6"/>
      </font>
      <fill>
        <patternFill>
          <bgColor rgb="00F2F2F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comments/comment1.xml><?xml version="1.0" encoding="utf-8"?>
<comments xmlns="http://schemas.openxmlformats.org/spreadsheetml/2006/main">
  <authors>
    <author>Agence</author>
  </authors>
  <commentList>
    <comment ref="B7" authorId="0" shapeId="0">
      <text>
        <t>Taux de référence BCE du 20/08/2026 : 1 EUR = 20 788,62 IDR (source : api.frankfurter.dev). À actualiser au taux du jour.</t>
      </text>
    </comment>
    <comment ref="B10" authorId="0" shapeId="0">
      <text>
        <t>Forfait plancher : si le pourcentage d'honoraires donne moins que ce montant, c'est le forfait qui s'applique.</t>
      </text>
    </comment>
    <comment ref="B13" authorId="0" shapeId="0">
      <text>
        <t>Base annuelle appliquée à toutes les villas (365 nuits, ou moins si la villa est fermée une partie de l'année).</t>
      </text>
    </comment>
    <comment ref="B16" authorId="0" shapeId="0">
      <text>
        <t>Choisir FREEHOLD ou LEASEHOLD dans la liste deroulante.
FREEHOLD -&gt; prix du terrain = surface x B19 (prix à l'are, sans durée).
LEASEHOLD -&gt; prix du terrain = surface x B20 x B21 (prix à l'are et par an x durée).</t>
      </text>
    </comment>
    <comment ref="B21" authorId="0" shapeId="0">
      <text>
        <t>Utilisee uniquement en LEASEHOLD. En FREEHOLD la cellule est grisee et n'entre dans aucun calcul.</t>
      </text>
    </comment>
    <comment ref="B22" authorId="0" shapeId="0">
      <text>
        <t>Case à cocher : OUI ajoute la commission agence (taux de la cellule B23) au prix vendeur, NON la retire.</t>
      </text>
    </comment>
    <comment ref="B23" authorId="0" shapeId="0">
      <text>
        <t>Taux appliqué au prix vendeur. 25% correspond a un prix vendeur de 4 000 000 IDR/are/an revendu 5 000 000 au client. À ajuster selon le dossier.</t>
      </text>
    </comment>
    <comment ref="B24" authorId="0" shapeId="0">
      <text>
        <t>Montant forfaitaire à renseigner selon le dossier.</t>
      </text>
    </comment>
    <comment ref="B25" authorId="0" shapeId="0">
      <text>
        <t>Cérémonie traditionnelle balinaise. Montant forfaitaire a renseigner selon le dossier.</t>
      </text>
    </comment>
    <comment ref="C30" authorId="0" shapeId="0">
      <text>
        <t>FREEHOLD : surface x prix à l'are.
LEASEHOLD : surface x prix à l'are et par an x durée.</t>
      </text>
    </comment>
    <comment ref="C32" authorId="0" shapeId="0">
      <text>
        <t>MAX entre le pourcentage d'honoraires (B9) et le forfait minimum (B10) : si le pourcentage donne moins que le forfait, c'est le forfait qui s'applique.</t>
      </text>
    </comment>
    <comment ref="B40" authorId="0" shapeId="0">
      <text>
        <t>Case à cocher : OUI ajoute les 2 000 EUR de creation de la PT PMA (cellule B12) a l'investissement, NON les retire.</t>
      </text>
    </comment>
    <comment ref="B43" authorId="0" shapeId="0">
      <text>
        <t>Nommer chaque villa ici (villa principale, villa 2 chambres, pool house...). La désignation est reprise automatiquement dans le tableau des revenus.
Laisser vide les villas non utilisées : elles comptent pour zéro.</t>
      </text>
    </comment>
    <comment ref="C43" authorId="0" shapeId="0">
      <text>
        <t>Budget de construction en EUR. Pour un devis exprimé en IDR, saisir la formule =montant_IDR/$B$7.</t>
      </text>
    </comment>
    <comment ref="D43" authorId="0" shapeId="0">
      <text>
        <t>Budget d'ameublement en EUR. Pour un devis exprimé en IDR, saisir la formule =montant_IDR/$B$7.</t>
      </text>
    </comment>
    <comment ref="B57" authorId="0" shapeId="0">
      <text>
        <t>Pourcentage appliqué au revenu brut cumulé de toutes les villas (gestion, ménage, entretien, énergie...).</t>
      </text>
    </comment>
    <comment ref="B58" authorId="0" shapeId="0">
      <text>
        <t>Impôt assis sur le chiffre d'affaires brut, et non sur le résultat : il est dû même si l'exploitation ne dégage pas de bénéfice.</t>
      </text>
    </comment>
    <comment ref="C61" authorId="0" shapeId="0">
      <text>
        <t>Taux d'occupation propre à cette villa (ex. 65% = 237 nuits sur 365).</t>
      </text>
    </comment>
    <comment ref="D61" authorId="0" shapeId="0">
      <text>
        <t>Prix moyen de la nuitée de cette villa, en EUR. Laisser vide si la villa n'est pas utilisee dans ce scenario.</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G94"/>
  <sheetViews>
    <sheetView workbookViewId="0">
      <selection activeCell="A1" sqref="A1"/>
    </sheetView>
  </sheetViews>
  <sheetFormatPr baseColWidth="8" defaultRowHeight="15"/>
  <cols>
    <col width="50" customWidth="1" min="1" max="1"/>
    <col width="26" customWidth="1" min="2" max="2"/>
    <col width="22" customWidth="1" min="3" max="3"/>
    <col width="22" customWidth="1" min="4" max="4"/>
    <col width="20" customWidth="1" min="5" max="5"/>
    <col width="22" customWidth="1" min="6" max="6"/>
    <col width="22" customWidth="1" min="7" max="7"/>
  </cols>
  <sheetData>
    <row r="1">
      <c r="A1" s="1" t="inlineStr">
        <is>
          <t>PROJECTION DE PROJET - VILLAS</t>
        </is>
      </c>
    </row>
    <row r="2">
      <c r="A2" s="2" t="inlineStr">
        <is>
          <t>Client :</t>
        </is>
      </c>
      <c r="B2" s="2" t="n"/>
    </row>
    <row r="3">
      <c r="A3" s="2" t="inlineStr">
        <is>
          <t>Terrain / localisation :</t>
        </is>
      </c>
      <c r="B3" s="2" t="n"/>
    </row>
    <row r="4">
      <c r="A4" s="2" t="inlineStr">
        <is>
          <t>Date :</t>
        </is>
      </c>
      <c r="B4" s="2" t="n"/>
    </row>
    <row r="6">
      <c r="A6" s="1" t="inlineStr">
        <is>
          <t>PARAMÈTRES GÉNÉRAUX</t>
        </is>
      </c>
    </row>
    <row r="7">
      <c r="A7" s="2" t="inlineStr">
        <is>
          <t>Taux de change (IDR pour 1 EUR)</t>
        </is>
      </c>
      <c r="B7" s="3" t="n">
        <v>20788.62</v>
      </c>
    </row>
    <row r="8">
      <c r="A8" s="2" t="inlineStr">
        <is>
          <t>Taxes gouvernementales (% du prix du terrain)</t>
        </is>
      </c>
      <c r="B8" s="4" t="n">
        <v>0.05</v>
      </c>
    </row>
    <row r="9">
      <c r="A9" s="2" t="inlineStr">
        <is>
          <t>Honoraires du notaire (% du prix du terrain)</t>
        </is>
      </c>
      <c r="B9" s="4" t="n">
        <v>0.01</v>
      </c>
    </row>
    <row r="10">
      <c r="A10" s="2" t="inlineStr">
        <is>
          <t>Honoraires du notaire - forfait minimum (IDR)</t>
        </is>
      </c>
      <c r="B10" s="5" t="n">
        <v>20000000</v>
      </c>
    </row>
    <row r="11">
      <c r="A11" s="2" t="inlineStr">
        <is>
          <t>Frais de géomètre (EUR)</t>
        </is>
      </c>
      <c r="B11" s="3" t="n">
        <v>1000</v>
      </c>
    </row>
    <row r="12">
      <c r="A12" s="2" t="inlineStr">
        <is>
          <t>Coût de création de la PT PMA (EUR)</t>
        </is>
      </c>
      <c r="B12" s="3" t="n">
        <v>2000</v>
      </c>
    </row>
    <row r="13">
      <c r="A13" s="2" t="inlineStr">
        <is>
          <t>Nombre de nuits commercialisables / an</t>
        </is>
      </c>
      <c r="B13" s="5" t="n">
        <v>365</v>
      </c>
    </row>
    <row r="15">
      <c r="A15" s="1" t="inlineStr">
        <is>
          <t>1. COÛT FONCIER</t>
        </is>
      </c>
    </row>
    <row r="16">
      <c r="A16" s="2" t="inlineStr">
        <is>
          <t>Option retenue : FREEHOLD ou LEASEHOLD</t>
        </is>
      </c>
      <c r="B16" s="2" t="inlineStr">
        <is>
          <t>LEASEHOLD</t>
        </is>
      </c>
    </row>
    <row r="17">
      <c r="A17" s="2" t="inlineStr">
        <is>
          <t>Surface du terrain (ares)</t>
        </is>
      </c>
      <c r="B17" s="3" t="n">
        <v>6</v>
      </c>
    </row>
    <row r="18">
      <c r="A18" s="2" t="inlineStr">
        <is>
          <t>Surface du terrain (m²)</t>
        </is>
      </c>
      <c r="B18" s="5">
        <f>B17*100</f>
        <v/>
      </c>
    </row>
    <row r="19">
      <c r="A19" s="2" t="inlineStr">
        <is>
          <t>Prix FREEHOLD - prix vendeur (IDR / are)</t>
        </is>
      </c>
      <c r="B19" s="5" t="n"/>
      <c r="C19" s="6">
        <f>IF($B$16="FREEHOLD",IF($B$19&gt;0,"","A RENSEIGNER"),"sans objet en LEASEHOLD")</f>
        <v/>
      </c>
    </row>
    <row r="20">
      <c r="A20" s="2" t="inlineStr">
        <is>
          <t>Prix LEASEHOLD - prix vendeur (IDR / are / an)</t>
        </is>
      </c>
      <c r="B20" s="5" t="n">
        <v>4000000</v>
      </c>
      <c r="C20" s="6">
        <f>IF($B$16="LEASEHOLD",IF($B$20&gt;0,"","A RENSEIGNER"),"sans objet en FREEHOLD")</f>
        <v/>
      </c>
    </row>
    <row r="21">
      <c r="A21" s="2" t="inlineStr">
        <is>
          <t>Durée du leasehold (années)</t>
        </is>
      </c>
      <c r="B21" s="5" t="n">
        <v>30</v>
      </c>
      <c r="C21" s="6">
        <f>IF($B$16="LEASEHOLD",IF($B$21&gt;0,"","A RENSEIGNER"),"sans objet en FREEHOLD")</f>
        <v/>
      </c>
    </row>
    <row r="22">
      <c r="A22" s="2" t="inlineStr">
        <is>
          <t>Commission agence - à appliquer ? (OUI / NON)</t>
        </is>
      </c>
      <c r="B22" s="2" t="inlineStr">
        <is>
          <t>OUI</t>
        </is>
      </c>
    </row>
    <row r="23">
      <c r="A23" s="2" t="inlineStr">
        <is>
          <t>Taux de commission agence (% du prix vendeur)</t>
        </is>
      </c>
      <c r="B23" s="4" t="n">
        <v>0.25</v>
      </c>
    </row>
    <row r="24">
      <c r="A24" s="2" t="inlineStr">
        <is>
          <t>Frais d'emménagement (IDR)</t>
        </is>
      </c>
      <c r="B24" s="5" t="n">
        <v>0</v>
      </c>
    </row>
    <row r="25">
      <c r="A25" s="2" t="inlineStr">
        <is>
          <t>Cérémonie traditionnelle (IDR)</t>
        </is>
      </c>
      <c r="B25" s="5" t="n">
        <v>0</v>
      </c>
    </row>
    <row r="27">
      <c r="A27" s="1" t="inlineStr">
        <is>
          <t>Poste</t>
        </is>
      </c>
      <c r="B27" s="1" t="inlineStr">
        <is>
          <t>Taux</t>
        </is>
      </c>
      <c r="C27" s="1" t="inlineStr">
        <is>
          <t>Montant IDR</t>
        </is>
      </c>
      <c r="D27" s="1" t="inlineStr">
        <is>
          <t>Montant EUR</t>
        </is>
      </c>
    </row>
    <row r="28">
      <c r="A28" s="2" t="inlineStr">
        <is>
          <t>Prix du terrain - PRIX VENDEUR</t>
        </is>
      </c>
      <c r="B28" s="4" t="n"/>
      <c r="C28" s="5">
        <f>IF($B$16="FREEHOLD",$B$17*$B$19,$B$17*$B$20*$B$21)</f>
        <v/>
      </c>
      <c r="D28" s="3">
        <f>C28/$B$7</f>
        <v/>
      </c>
    </row>
    <row r="29">
      <c r="A29" s="2" t="inlineStr">
        <is>
          <t>Commission agence (si OUI en B22)</t>
        </is>
      </c>
      <c r="B29" s="4">
        <f>IF($B$22="OUI",$B$23,0)</f>
        <v/>
      </c>
      <c r="C29" s="5">
        <f>IF($B$22="OUI",C28*$B$23,0)</f>
        <v/>
      </c>
      <c r="D29" s="3">
        <f>C29/$B$7</f>
        <v/>
      </c>
    </row>
    <row r="30">
      <c r="A30" s="1" t="inlineStr">
        <is>
          <t>PRIX DU TERRAIN AVEC COMMISSION</t>
        </is>
      </c>
      <c r="B30" s="7" t="n"/>
      <c r="C30" s="8">
        <f>C28+C29</f>
        <v/>
      </c>
      <c r="D30" s="9">
        <f>C30/$B$7</f>
        <v/>
      </c>
    </row>
    <row r="31">
      <c r="A31" s="2" t="inlineStr">
        <is>
          <t>Taxes gouvernementales</t>
        </is>
      </c>
      <c r="B31" s="4">
        <f>$B$8</f>
        <v/>
      </c>
      <c r="C31" s="5">
        <f>C30*$B$8</f>
        <v/>
      </c>
      <c r="D31" s="3">
        <f>C31/$B$7</f>
        <v/>
      </c>
    </row>
    <row r="32">
      <c r="A32" s="2" t="inlineStr">
        <is>
          <t>Honoraires du notaire (forfait plancher en B10)</t>
        </is>
      </c>
      <c r="B32" s="4">
        <f>IF(C30=0,0,C32/C30)</f>
        <v/>
      </c>
      <c r="C32" s="5">
        <f>MAX(C30*$B$9,$B$10)</f>
        <v/>
      </c>
      <c r="D32" s="3">
        <f>C32/$B$7</f>
        <v/>
      </c>
    </row>
    <row r="33">
      <c r="A33" s="2" t="inlineStr">
        <is>
          <t>Sous-total frais de notaire (taxes + honoraires)</t>
        </is>
      </c>
      <c r="B33" s="4">
        <f>IF(C30=0,0,C33/C30)</f>
        <v/>
      </c>
      <c r="C33" s="5">
        <f>C31+C32</f>
        <v/>
      </c>
      <c r="D33" s="3">
        <f>C33/$B$7</f>
        <v/>
      </c>
    </row>
    <row r="34">
      <c r="A34" s="2" t="inlineStr">
        <is>
          <t>Frais de géomètre (forfait)</t>
        </is>
      </c>
      <c r="B34" s="2" t="n"/>
      <c r="C34" s="5">
        <f>$B$11*$B$7</f>
        <v/>
      </c>
      <c r="D34" s="3">
        <f>$B$11</f>
        <v/>
      </c>
    </row>
    <row r="35">
      <c r="A35" s="2" t="inlineStr">
        <is>
          <t>Frais d'emménagement</t>
        </is>
      </c>
      <c r="B35" s="4" t="n"/>
      <c r="C35" s="5">
        <f>$B$24</f>
        <v/>
      </c>
      <c r="D35" s="3">
        <f>C35/$B$7</f>
        <v/>
      </c>
    </row>
    <row r="36">
      <c r="A36" s="2" t="inlineStr">
        <is>
          <t>Cérémonie traditionnelle</t>
        </is>
      </c>
      <c r="B36" s="4" t="n"/>
      <c r="C36" s="5">
        <f>$B$25</f>
        <v/>
      </c>
      <c r="D36" s="3">
        <f>C36/$B$7</f>
        <v/>
      </c>
    </row>
    <row r="37">
      <c r="A37" s="1" t="inlineStr">
        <is>
          <t>COÛT FONCIER TOTAL</t>
        </is>
      </c>
      <c r="B37" s="7" t="n"/>
      <c r="C37" s="8">
        <f>C30+C33+C34+C35+C36</f>
        <v/>
      </c>
      <c r="D37" s="9">
        <f>C37/$B$7</f>
        <v/>
      </c>
    </row>
    <row r="39">
      <c r="A39" s="1" t="inlineStr">
        <is>
          <t>2. INVESTISSEMENT À CONSENTIR</t>
        </is>
      </c>
    </row>
    <row r="40">
      <c r="A40" s="2" t="inlineStr">
        <is>
          <t>Création de la PT PMA - à inclure ? (OUI / NON)</t>
        </is>
      </c>
      <c r="B40" s="2" t="inlineStr">
        <is>
          <t>OUI</t>
        </is>
      </c>
    </row>
    <row r="42">
      <c r="A42" s="1" t="inlineStr"/>
      <c r="B42" s="1" t="inlineStr">
        <is>
          <t>Désignation de la villa</t>
        </is>
      </c>
      <c r="C42" s="1" t="inlineStr">
        <is>
          <t>Construction (EUR)</t>
        </is>
      </c>
      <c r="D42" s="1" t="inlineStr">
        <is>
          <t>Ameublement (EUR)</t>
        </is>
      </c>
      <c r="E42" s="1" t="inlineStr">
        <is>
          <t>Total villa (EUR)</t>
        </is>
      </c>
      <c r="F42" s="1" t="inlineStr">
        <is>
          <t>Total villa (IDR)</t>
        </is>
      </c>
    </row>
    <row r="43">
      <c r="A43" s="1" t="inlineStr">
        <is>
          <t>Villa 1</t>
        </is>
      </c>
      <c r="B43" s="2" t="inlineStr">
        <is>
          <t>Villa 1</t>
        </is>
      </c>
      <c r="C43" s="3" t="n"/>
      <c r="D43" s="3" t="n"/>
      <c r="E43" s="3">
        <f>C43+D43</f>
        <v/>
      </c>
      <c r="F43" s="5">
        <f>E43*$B$7</f>
        <v/>
      </c>
    </row>
    <row r="44">
      <c r="A44" s="1" t="inlineStr">
        <is>
          <t>Villa 2</t>
        </is>
      </c>
      <c r="B44" s="2" t="n"/>
      <c r="C44" s="3" t="n"/>
      <c r="D44" s="3" t="n"/>
      <c r="E44" s="3">
        <f>C44+D44</f>
        <v/>
      </c>
      <c r="F44" s="5">
        <f>E44*$B$7</f>
        <v/>
      </c>
    </row>
    <row r="45">
      <c r="A45" s="1" t="inlineStr">
        <is>
          <t>Villa 3</t>
        </is>
      </c>
      <c r="B45" s="2" t="n"/>
      <c r="C45" s="3" t="n"/>
      <c r="D45" s="3" t="n"/>
      <c r="E45" s="3">
        <f>C45+D45</f>
        <v/>
      </c>
      <c r="F45" s="5">
        <f>E45*$B$7</f>
        <v/>
      </c>
    </row>
    <row r="46">
      <c r="A46" s="1" t="inlineStr">
        <is>
          <t>Villa 4</t>
        </is>
      </c>
      <c r="B46" s="2" t="n"/>
      <c r="C46" s="3" t="n"/>
      <c r="D46" s="3" t="n"/>
      <c r="E46" s="3">
        <f>C46+D46</f>
        <v/>
      </c>
      <c r="F46" s="5">
        <f>E46*$B$7</f>
        <v/>
      </c>
    </row>
    <row r="47">
      <c r="A47" s="1" t="inlineStr">
        <is>
          <t>Villa 5</t>
        </is>
      </c>
      <c r="B47" s="2" t="n"/>
      <c r="C47" s="3" t="n"/>
      <c r="D47" s="3" t="n"/>
      <c r="E47" s="3">
        <f>C47+D47</f>
        <v/>
      </c>
      <c r="F47" s="5">
        <f>E47*$B$7</f>
        <v/>
      </c>
    </row>
    <row r="48">
      <c r="A48" s="1" t="inlineStr">
        <is>
          <t>TOTAL VILLAS</t>
        </is>
      </c>
      <c r="B48" s="2" t="n"/>
      <c r="C48" s="9">
        <f>SUM(C43:C47)</f>
        <v/>
      </c>
      <c r="D48" s="9">
        <f>SUM(D43:D47)</f>
        <v/>
      </c>
      <c r="E48" s="9">
        <f>SUM(E43:E47)</f>
        <v/>
      </c>
      <c r="F48" s="8">
        <f>E48*$B$7</f>
        <v/>
      </c>
    </row>
    <row r="50">
      <c r="A50" s="1" t="inlineStr">
        <is>
          <t>Poste</t>
        </is>
      </c>
      <c r="B50" s="1" t="inlineStr">
        <is>
          <t>Taux</t>
        </is>
      </c>
      <c r="C50" s="1" t="inlineStr">
        <is>
          <t>Montant IDR</t>
        </is>
      </c>
      <c r="D50" s="1" t="inlineStr">
        <is>
          <t>Montant EUR</t>
        </is>
      </c>
    </row>
    <row r="51">
      <c r="A51" s="2" t="inlineStr">
        <is>
          <t>Coût foncier (report du tableau 1)</t>
        </is>
      </c>
      <c r="B51" s="4" t="n"/>
      <c r="C51" s="5">
        <f>C37</f>
        <v/>
      </c>
      <c r="D51" s="3">
        <f>C51/$B$7</f>
        <v/>
      </c>
    </row>
    <row r="52">
      <c r="A52" s="2" t="inlineStr">
        <is>
          <t>Constructions et ameublements (total villas)</t>
        </is>
      </c>
      <c r="B52" s="4" t="n"/>
      <c r="C52" s="5">
        <f>F48</f>
        <v/>
      </c>
      <c r="D52" s="3">
        <f>C52/$B$7</f>
        <v/>
      </c>
    </row>
    <row r="53">
      <c r="A53" s="2" t="inlineStr">
        <is>
          <t>Création de la PT PMA (si OUI en B40)</t>
        </is>
      </c>
      <c r="B53" s="4" t="n"/>
      <c r="C53" s="5">
        <f>IF($B$40="OUI",$B$12*$B$7,0)</f>
        <v/>
      </c>
      <c r="D53" s="3">
        <f>C53/$B$7</f>
        <v/>
      </c>
    </row>
    <row r="54">
      <c r="A54" s="1" t="inlineStr">
        <is>
          <t>INVESTISSEMENT TOTAL</t>
        </is>
      </c>
      <c r="B54" s="7" t="n"/>
      <c r="C54" s="8">
        <f>C51+C52+C53</f>
        <v/>
      </c>
      <c r="D54" s="9">
        <f>C54/$B$7</f>
        <v/>
      </c>
    </row>
    <row r="56">
      <c r="A56" s="1" t="inlineStr">
        <is>
          <t>3. REVENUS PRÉVISIONNELS PAR VILLA</t>
        </is>
      </c>
    </row>
    <row r="57">
      <c r="A57" s="2" t="inlineStr">
        <is>
          <t>Charges d'exploitation (% du revenu brut)</t>
        </is>
      </c>
      <c r="B57" s="4" t="n">
        <v>0.3</v>
      </c>
    </row>
    <row r="58">
      <c r="A58" s="2" t="inlineStr">
        <is>
          <t>Impôt sur les sociétés (% du chiffre d'affaires)</t>
        </is>
      </c>
      <c r="B58" s="4" t="n">
        <v>0.005</v>
      </c>
    </row>
    <row r="60">
      <c r="A60" s="1" t="inlineStr"/>
      <c r="B60" s="1" t="inlineStr">
        <is>
          <t>Désignation de la villa</t>
        </is>
      </c>
      <c r="C60" s="1" t="inlineStr">
        <is>
          <t>Taux d'occupation</t>
        </is>
      </c>
      <c r="D60" s="1" t="inlineStr">
        <is>
          <t>Prix nuitée (EUR)</t>
        </is>
      </c>
      <c r="E60" s="1" t="inlineStr">
        <is>
          <t>Nuits occupées / an</t>
        </is>
      </c>
      <c r="F60" s="1" t="inlineStr">
        <is>
          <t>Revenus bruts (EUR)</t>
        </is>
      </c>
      <c r="G60" s="1" t="inlineStr">
        <is>
          <t>Revenus bruts (IDR)</t>
        </is>
      </c>
    </row>
    <row r="61">
      <c r="A61" s="1" t="inlineStr">
        <is>
          <t>Villa 1</t>
        </is>
      </c>
      <c r="B61" s="2">
        <f>IF($B$43="","",$B$43)</f>
        <v/>
      </c>
      <c r="C61" s="4" t="n">
        <v>0.65</v>
      </c>
      <c r="D61" s="3" t="n">
        <v>250</v>
      </c>
      <c r="E61" s="10">
        <f>$B$13*C61</f>
        <v/>
      </c>
      <c r="F61" s="3">
        <f>E61*D61</f>
        <v/>
      </c>
      <c r="G61" s="5">
        <f>F61*$B$7</f>
        <v/>
      </c>
    </row>
    <row r="62">
      <c r="A62" s="1" t="inlineStr">
        <is>
          <t>Villa 2</t>
        </is>
      </c>
      <c r="B62" s="2">
        <f>IF($B$44="","",$B$44)</f>
        <v/>
      </c>
      <c r="C62" s="4" t="n"/>
      <c r="D62" s="3" t="n"/>
      <c r="E62" s="10">
        <f>$B$13*C62</f>
        <v/>
      </c>
      <c r="F62" s="3">
        <f>E62*D62</f>
        <v/>
      </c>
      <c r="G62" s="5">
        <f>F62*$B$7</f>
        <v/>
      </c>
    </row>
    <row r="63">
      <c r="A63" s="1" t="inlineStr">
        <is>
          <t>Villa 3</t>
        </is>
      </c>
      <c r="B63" s="2">
        <f>IF($B$45="","",$B$45)</f>
        <v/>
      </c>
      <c r="C63" s="4" t="n"/>
      <c r="D63" s="3" t="n"/>
      <c r="E63" s="10">
        <f>$B$13*C63</f>
        <v/>
      </c>
      <c r="F63" s="3">
        <f>E63*D63</f>
        <v/>
      </c>
      <c r="G63" s="5">
        <f>F63*$B$7</f>
        <v/>
      </c>
    </row>
    <row r="64">
      <c r="A64" s="1" t="inlineStr">
        <is>
          <t>Villa 4</t>
        </is>
      </c>
      <c r="B64" s="2">
        <f>IF($B$46="","",$B$46)</f>
        <v/>
      </c>
      <c r="C64" s="4" t="n"/>
      <c r="D64" s="3" t="n"/>
      <c r="E64" s="10">
        <f>$B$13*C64</f>
        <v/>
      </c>
      <c r="F64" s="3">
        <f>E64*D64</f>
        <v/>
      </c>
      <c r="G64" s="5">
        <f>F64*$B$7</f>
        <v/>
      </c>
    </row>
    <row r="65">
      <c r="A65" s="1" t="inlineStr">
        <is>
          <t>Villa 5</t>
        </is>
      </c>
      <c r="B65" s="2">
        <f>IF($B$47="","",$B$47)</f>
        <v/>
      </c>
      <c r="C65" s="4" t="n"/>
      <c r="D65" s="3" t="n"/>
      <c r="E65" s="10">
        <f>$B$13*C65</f>
        <v/>
      </c>
      <c r="F65" s="3">
        <f>E65*D65</f>
        <v/>
      </c>
      <c r="G65" s="5">
        <f>F65*$B$7</f>
        <v/>
      </c>
    </row>
    <row r="66">
      <c r="A66" s="1" t="inlineStr">
        <is>
          <t>TOTAL</t>
        </is>
      </c>
      <c r="B66" s="2" t="n"/>
      <c r="C66" s="2" t="n"/>
      <c r="D66" s="2" t="n"/>
      <c r="E66" s="11">
        <f>SUM(E61:E65)</f>
        <v/>
      </c>
      <c r="F66" s="9">
        <f>SUM(F61:F65)</f>
        <v/>
      </c>
      <c r="G66" s="8">
        <f>SUM(G61:G65)</f>
        <v/>
      </c>
    </row>
    <row r="68">
      <c r="A68" s="1" t="inlineStr">
        <is>
          <t>Poste</t>
        </is>
      </c>
      <c r="B68" s="1" t="inlineStr">
        <is>
          <t>Taux</t>
        </is>
      </c>
      <c r="C68" s="1" t="inlineStr">
        <is>
          <t>Montant IDR</t>
        </is>
      </c>
      <c r="D68" s="1" t="inlineStr">
        <is>
          <t>Montant EUR</t>
        </is>
      </c>
    </row>
    <row r="69">
      <c r="A69" s="1" t="inlineStr">
        <is>
          <t>REVENUS BRUTS ANNUELS</t>
        </is>
      </c>
      <c r="B69" s="2" t="n"/>
      <c r="C69" s="8">
        <f>G66</f>
        <v/>
      </c>
      <c r="D69" s="9">
        <f>F66</f>
        <v/>
      </c>
    </row>
    <row r="70">
      <c r="A70" s="2" t="inlineStr">
        <is>
          <t>Charges d'exploitation</t>
        </is>
      </c>
      <c r="B70" s="4">
        <f>$B$57</f>
        <v/>
      </c>
      <c r="C70" s="5">
        <f>C69*$B$57</f>
        <v/>
      </c>
      <c r="D70" s="3">
        <f>C70/$B$7</f>
        <v/>
      </c>
    </row>
    <row r="71">
      <c r="A71" s="2" t="inlineStr">
        <is>
          <t>Impôt sur les sociétés (sur le chiffre d'affaires)</t>
        </is>
      </c>
      <c r="B71" s="4">
        <f>$B$58</f>
        <v/>
      </c>
      <c r="C71" s="5">
        <f>C69*$B$58</f>
        <v/>
      </c>
      <c r="D71" s="3">
        <f>C71/$B$7</f>
        <v/>
      </c>
    </row>
    <row r="72">
      <c r="A72" s="2" t="inlineStr">
        <is>
          <t>TOTAL DES CHARGES</t>
        </is>
      </c>
      <c r="B72" s="4">
        <f>IF(C69=0,0,C72/C69)</f>
        <v/>
      </c>
      <c r="C72" s="5">
        <f>C70+C71</f>
        <v/>
      </c>
      <c r="D72" s="3">
        <f>C72/$B$7</f>
        <v/>
      </c>
    </row>
    <row r="73">
      <c r="A73" s="1" t="inlineStr">
        <is>
          <t>REVENUS NETS ANNUELS</t>
        </is>
      </c>
      <c r="B73" s="7" t="n"/>
      <c r="C73" s="8">
        <f>C69-C72</f>
        <v/>
      </c>
      <c r="D73" s="9">
        <f>C73/$B$7</f>
        <v/>
      </c>
    </row>
    <row r="75">
      <c r="A75" s="1" t="inlineStr">
        <is>
          <t>INDICATEURS</t>
        </is>
      </c>
    </row>
    <row r="76">
      <c r="A76" s="2" t="inlineStr">
        <is>
          <t>Nombre de villas retenues dans le scénario</t>
        </is>
      </c>
      <c r="B76" s="8">
        <f>COUNTIF(D61:D65,"&gt;0")</f>
        <v/>
      </c>
    </row>
    <row r="77">
      <c r="A77" s="2" t="inlineStr">
        <is>
          <t>Rendement brut (revenus bruts / investissement total)</t>
        </is>
      </c>
      <c r="B77" s="7">
        <f>IF(C54=0,0,C69/C54)</f>
        <v/>
      </c>
    </row>
    <row r="78">
      <c r="A78" s="2" t="inlineStr">
        <is>
          <t>Rendement net (revenus nets / investissement total)</t>
        </is>
      </c>
      <c r="B78" s="7">
        <f>IF(C54=0,0,C73/C54)</f>
        <v/>
      </c>
    </row>
    <row r="79">
      <c r="A79" s="2" t="inlineStr">
        <is>
          <t>Retour sur investissement (années)</t>
        </is>
      </c>
      <c r="B79" s="11">
        <f>IF(C73=0,0,C54/C73)</f>
        <v/>
      </c>
    </row>
    <row r="81">
      <c r="A81" s="1" t="inlineStr">
        <is>
          <t>NOTES / HYPOTHESES</t>
        </is>
      </c>
    </row>
    <row r="82">
      <c r="A82" s="2" t="inlineStr">
        <is>
          <t>MODE D'EMPLOI : renseigner le terrain (tableau 1), nommer les villas et saisir leurs budgets (tableau 2), puis leur occupation et leur prix de nuitee (tableau 3). Les villas non utilisees restent vides et comptent pour zero.</t>
        </is>
      </c>
    </row>
    <row r="83">
      <c r="A83" s="2" t="inlineStr">
        <is>
          <t>Tableau 1 : le choix FREEHOLD / LEASEHOLD en B16 pilote le calcul du prix du terrain ; le prix inutilise est simplement ignore. 1 are = 100 m2.</t>
        </is>
      </c>
    </row>
    <row r="84">
      <c r="A84" s="2" t="inlineStr">
        <is>
          <t>Les prix du terrain sont des PRIX VENDEUR : la commission agence est ajoutée séparément en ligne 29, uniquement si B22 = OUI, au taux de la cellule B23.</t>
        </is>
      </c>
    </row>
    <row r="85">
      <c r="A85" s="2" t="inlineStr">
        <is>
          <t>REPORT VERS LE TABLEAU CLIENT : ajuster le taux de commission jusqu'au montant voulu, puis reporter le montant de la ligne 29 dans la ligne 'Frais d'agence' du tableau client. Ce dernier attend le PRIX VENDEUR dans ses cellules de prix : la commission n'y est comptée qu'une fois, en frais d'agence.</t>
        </is>
      </c>
    </row>
    <row r="86">
      <c r="A86" s="2" t="inlineStr">
        <is>
          <t>Les frais de notaire portent sur le prix du terrain commission comprise (ligne 30) : taxes gouvernementales (B8) + honoraires (B9) avec un forfait plancher de 20 000 000 IDR (B10).</t>
        </is>
      </c>
    </row>
    <row r="87">
      <c r="A87" s="2" t="inlineStr">
        <is>
          <t>S'ajoutent au cout foncier le geometre (B11), les frais d'emmenagement (B24) et la ceremonie traditionnelle (B25), saisis en IDR.</t>
        </is>
      </c>
    </row>
    <row r="88">
      <c r="A88" s="2" t="inlineStr">
        <is>
          <t>Tableau 2 : une ligne par villa, construction et ameublement saisis en EUR ; pour un devis en IDR, saisir =montant_IDR/$B$7. La designation saisie en colonne B est reprise automatiquement dans le tableau 3.</t>
        </is>
      </c>
    </row>
    <row r="89">
      <c r="A89" s="2" t="inlineStr">
        <is>
          <t>La creation de la PT PMA (2 000 EUR, cellule B12) s'ajoute a l'investissement uniquement si B40 = OUI, quel que soit le nombre de villas.</t>
        </is>
      </c>
    </row>
    <row r="90">
      <c r="A90" s="2" t="inlineStr">
        <is>
          <t>Tableau 3 : chaque villa a son propre taux d'occupation et son propre prix de nuitée. Revenus bruts = nuits commercialisables (B13) x taux d'occupation x prix de la nuitée.</t>
        </is>
      </c>
    </row>
    <row r="91">
      <c r="A91" s="2" t="inlineStr">
        <is>
          <t>Les charges regroupent les charges d'exploitation (B57) et l'impôt sur les sociétés (B58), ce dernier assis sur le chiffre d'affaires brut et non sur le résultat : il reste dû même sans bénéfice.</t>
        </is>
      </c>
    </row>
    <row r="92">
      <c r="A92" s="2" t="inlineStr">
        <is>
          <t>Taux de change en B7 : référence BCE du 20/08/2026 (1 EUR = 20 788,62 IDR). À actualiser avant présentation au client.</t>
        </is>
      </c>
    </row>
    <row r="93">
      <c r="A93" s="2" t="inlineStr">
        <is>
          <t>Projection prévisionnelle à but indicatif : hors impôt sur les sociétés assis sur le chiffre d'affaires, elle n'intègre aucune autre fiscalité, ni l'amortissement, ni les frais de gestion au-delà du pourcentage de charges saisi. En leasehold, le rendement doit s'apprécier au regard de la durée résiduelle du bail.</t>
        </is>
      </c>
    </row>
    <row r="94">
      <c r="A94" s="1" t="inlineStr">
        <is>
          <t>VERSION INTERNE - contient la commission agence. Ne pas transmettre au client : utiliser la version 'presentation client'.</t>
        </is>
      </c>
    </row>
  </sheetData>
  <conditionalFormatting sqref="A19:C19">
    <cfRule type="expression" priority="1" dxfId="0">
      <formula>$B$16&lt;&gt;"FREEHOLD"</formula>
    </cfRule>
  </conditionalFormatting>
  <conditionalFormatting sqref="A20:C20">
    <cfRule type="expression" priority="2" dxfId="0">
      <formula>$B$16&lt;&gt;"LEASEHOLD"</formula>
    </cfRule>
  </conditionalFormatting>
  <conditionalFormatting sqref="A21:C21">
    <cfRule type="expression" priority="3" dxfId="0">
      <formula>$B$16&lt;&gt;"LEASEHOLD"</formula>
    </cfRule>
  </conditionalFormatting>
  <dataValidations count="3">
    <dataValidation sqref="B16" showDropDown="0" showInputMessage="0" showErrorMessage="0" allowBlank="0" type="list">
      <formula1>"FREEHOLD,LEASEHOLD"</formula1>
    </dataValidation>
    <dataValidation sqref="B22" showDropDown="0" showInputMessage="0" showErrorMessage="0" allowBlank="0" type="list">
      <formula1>"OUI,NON"</formula1>
    </dataValidation>
    <dataValidation sqref="B40" showDropDown="0" showInputMessage="0" showErrorMessage="0" allowBlank="0" type="list">
      <formula1>"OUI,NON"</formula1>
    </dataValidation>
  </dataValidation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2026-09-02T12:46:13Z</dcterms:created>
  <dcterms:modified xsi:type="dcterms:W3CDTF">2026-09-02T12:46:13Z</dcterms:modified>
</cp:coreProperties>
</file>