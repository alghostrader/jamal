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#,##0&quot; IDR&quot;"/>
    <numFmt numFmtId="166" formatCode="#,##0.00&quot; €&quot;"/>
    <numFmt numFmtId="167" formatCode="#,##0.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sz val="11"/>
    </font>
    <font>
      <name val="Arial"/>
      <b val="1"/>
      <color rgb="00FFFFFF"/>
      <sz val="12"/>
    </font>
    <font>
      <name val="Arial"/>
      <b val="1"/>
      <sz val="11"/>
    </font>
    <font>
      <name val="Arial"/>
      <color rgb="00808080"/>
      <sz val="1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8EA9DB"/>
      </left>
      <right style="thin">
        <color rgb="008EA9DB"/>
      </right>
      <top style="thin">
        <color rgb="008EA9DB"/>
      </top>
      <bottom style="thin">
        <color rgb="008EA9DB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3" fillId="2" borderId="0" pivotButton="0" quotePrefix="0" xfId="0"/>
    <xf numFmtId="0" fontId="2" fillId="2" borderId="0" pivotButton="0" quotePrefix="0" xfId="0"/>
    <xf numFmtId="4" fontId="2" fillId="3" borderId="1" pivotButton="0" quotePrefix="0" xfId="0"/>
    <xf numFmtId="164" fontId="2" fillId="3" borderId="1" pivotButton="0" quotePrefix="0" xfId="0"/>
    <xf numFmtId="165" fontId="2" fillId="3" borderId="1" pivotButton="0" quotePrefix="0" xfId="0"/>
    <xf numFmtId="166" fontId="2" fillId="3" borderId="1" pivotButton="0" quotePrefix="0" xfId="0"/>
    <xf numFmtId="3" fontId="2" fillId="3" borderId="1" pivotButton="0" quotePrefix="0" xfId="0"/>
    <xf numFmtId="0" fontId="2" fillId="3" borderId="1" pivotButton="0" quotePrefix="0" xfId="0"/>
    <xf numFmtId="0" fontId="4" fillId="4" borderId="1" pivotButton="0" quotePrefix="0" xfId="0"/>
    <xf numFmtId="0" fontId="4" fillId="4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165" fontId="2" fillId="0" borderId="1" pivotButton="0" quotePrefix="0" xfId="0"/>
    <xf numFmtId="166" fontId="2" fillId="0" borderId="1" pivotButton="0" quotePrefix="0" xfId="0"/>
    <xf numFmtId="0" fontId="4" fillId="5" borderId="1" pivotButton="0" quotePrefix="0" xfId="0"/>
    <xf numFmtId="164" fontId="4" fillId="5" borderId="1" applyAlignment="1" pivotButton="0" quotePrefix="0" xfId="0">
      <alignment horizontal="center"/>
    </xf>
    <xf numFmtId="165" fontId="4" fillId="5" borderId="1" pivotButton="0" quotePrefix="0" xfId="0"/>
    <xf numFmtId="166" fontId="4" fillId="5" borderId="1" pivotButton="0" quotePrefix="0" xfId="0"/>
    <xf numFmtId="0" fontId="4" fillId="0" borderId="1" pivotButton="0" quotePrefix="0" xfId="0"/>
    <xf numFmtId="0" fontId="2" fillId="5" borderId="1" pivotButton="0" quotePrefix="0" xfId="0"/>
    <xf numFmtId="164" fontId="2" fillId="3" borderId="1" applyAlignment="1" pivotButton="0" quotePrefix="0" xfId="0">
      <alignment horizontal="center"/>
    </xf>
    <xf numFmtId="167" fontId="2" fillId="0" borderId="1" applyAlignment="1" pivotButton="0" quotePrefix="0" xfId="0">
      <alignment horizontal="center"/>
    </xf>
    <xf numFmtId="167" fontId="4" fillId="5" borderId="1" pivotButton="0" quotePrefix="0" xfId="0"/>
    <xf numFmtId="3" fontId="4" fillId="5" borderId="1" applyAlignment="1" pivotButton="0" quotePrefix="0" xfId="0">
      <alignment horizontal="center"/>
    </xf>
    <xf numFmtId="167" fontId="4" fillId="5" borderId="1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Agence</author>
  </authors>
  <commentList>
    <comment ref="B7" authorId="0" shapeId="0">
      <text>
        <t>Taux de référence BCE du 20/08/2026 : 1 EUR = 20 788,62 IDR (source : api.frankfurter.dev). À actualiser au taux du jour.</t>
      </text>
    </comment>
    <comment ref="B10" authorId="0" shapeId="0">
      <text>
        <t>Forfait plancher : si le pourcentage d'honoraires donne moins que ce montant, c'est le forfait qui s'applique.</t>
      </text>
    </comment>
    <comment ref="B13" authorId="0" shapeId="0">
      <text>
        <t>Base annuelle appliquée à toutes les villas (365 nuits, ou moins si la villa est fermée une partie de l'année).</t>
      </text>
    </comment>
    <comment ref="B16" authorId="0" shapeId="0">
      <text>
        <t>Choisir FREEHOLD ou LEASEHOLD dans la liste deroulante.
FREEHOLD -&gt; prix du terrain = surface x B19 (prix à l'are, sans durée).
LEASEHOLD -&gt; prix du terrain = surface x B20 x B21 (prix à l'are et par an x durée).</t>
      </text>
    </comment>
    <comment ref="B22" authorId="0" shapeId="0">
      <text>
        <t>Montant forfaitaire à renseigner selon le dossier.</t>
      </text>
    </comment>
    <comment ref="B23" authorId="0" shapeId="0">
      <text>
        <t>Cérémonie traditionnelle balinaise. Montant forfaitaire a renseigner selon le dossier.</t>
      </text>
    </comment>
    <comment ref="C26" authorId="0" shapeId="0">
      <text>
        <t>FREEHOLD : surface x prix à l'are.
LEASEHOLD : surface x prix à l'are et par an x durée.</t>
      </text>
    </comment>
    <comment ref="C28" authorId="0" shapeId="0">
      <text>
        <t>MAX entre le pourcentage d'honoraires (B9) et le forfait minimum (B10) : si le pourcentage donne moins que le forfait, c'est le forfait qui s'applique.</t>
      </text>
    </comment>
    <comment ref="B36" authorId="0" shapeId="0">
      <text>
        <t>Case à cocher : OUI ajoute les 2 000 EUR de creation de la PT PMA (cellule B12) a l'investissement, NON les retire.</t>
      </text>
    </comment>
    <comment ref="B39" authorId="0" shapeId="0">
      <text>
        <t>Nommer chaque villa ici (villa principale, villa 2 chambres, pool house...). La désignation est reprise automatiquement dans le tableau des revenus.
Laisser vide les villas non utilisées : elles comptent pour zéro.</t>
      </text>
    </comment>
    <comment ref="C39" authorId="0" shapeId="0">
      <text>
        <t>Budget de construction en EUR. Pour un devis exprimé en IDR, saisir la formule =montant_IDR/$B$7.</t>
      </text>
    </comment>
    <comment ref="D39" authorId="0" shapeId="0">
      <text>
        <t>Budget d'ameublement en EUR. Pour un devis exprimé en IDR, saisir la formule =montant_IDR/$B$7.</t>
      </text>
    </comment>
    <comment ref="B53" authorId="0" shapeId="0">
      <text>
        <t>Pourcentage appliqué au revenu brut cumulé de toutes les villas (gestion, ménage, entretien, énergie...).</t>
      </text>
    </comment>
    <comment ref="C56" authorId="0" shapeId="0">
      <text>
        <t>Taux d'occupation propre à cette villa (ex. 65% = 237 nuits sur 365).</t>
      </text>
    </comment>
    <comment ref="D56" authorId="0" shapeId="0">
      <text>
        <t>Prix moyen de la nuitée de cette villa, en EUR. Laisser vide si la villa n'est pas utilisee dans ce scenario.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6" customWidth="1" min="2" max="2"/>
    <col width="22" customWidth="1" min="3" max="3"/>
    <col width="22" customWidth="1" min="4" max="4"/>
    <col width="20" customWidth="1" min="5" max="5"/>
    <col width="22" customWidth="1" min="6" max="6"/>
    <col width="22" customWidth="1" min="7" max="7"/>
  </cols>
  <sheetData>
    <row r="1">
      <c r="A1" s="1" t="inlineStr">
        <is>
          <t>PROJECTION DE PROJET - VILLAS</t>
        </is>
      </c>
    </row>
    <row r="2">
      <c r="A2" s="2" t="inlineStr">
        <is>
          <t>Client :</t>
        </is>
      </c>
      <c r="B2" s="3" t="n"/>
    </row>
    <row r="3">
      <c r="A3" s="2" t="inlineStr">
        <is>
          <t>Terrain / localisation :</t>
        </is>
      </c>
      <c r="B3" s="3" t="n"/>
    </row>
    <row r="4">
      <c r="A4" s="2" t="inlineStr">
        <is>
          <t>Date :</t>
        </is>
      </c>
      <c r="B4" s="3" t="n"/>
    </row>
    <row r="6">
      <c r="A6" s="4" t="inlineStr">
        <is>
          <t>PARAMÈTRES GÉNÉRAUX</t>
        </is>
      </c>
      <c r="B6" s="5" t="n"/>
      <c r="C6" s="5" t="n"/>
      <c r="D6" s="5" t="n"/>
      <c r="E6" s="5" t="n"/>
      <c r="F6" s="5" t="n"/>
      <c r="G6" s="5" t="n"/>
    </row>
    <row r="7">
      <c r="A7" s="2" t="inlineStr">
        <is>
          <t>Taux de change (IDR pour 1 EUR)</t>
        </is>
      </c>
      <c r="B7" s="6" t="n">
        <v>20788.62</v>
      </c>
    </row>
    <row r="8">
      <c r="A8" s="2" t="inlineStr">
        <is>
          <t>Taxes gouvernementales (% du prix du terrain)</t>
        </is>
      </c>
      <c r="B8" s="7" t="n">
        <v>0.05</v>
      </c>
    </row>
    <row r="9">
      <c r="A9" s="2" t="inlineStr">
        <is>
          <t>Honoraires du notaire (% du prix du terrain)</t>
        </is>
      </c>
      <c r="B9" s="7" t="n">
        <v>0.01</v>
      </c>
    </row>
    <row r="10">
      <c r="A10" s="2" t="inlineStr">
        <is>
          <t>Honoraires du notaire - forfait minimum (IDR)</t>
        </is>
      </c>
      <c r="B10" s="8" t="n">
        <v>20000000</v>
      </c>
    </row>
    <row r="11">
      <c r="A11" s="2" t="inlineStr">
        <is>
          <t>Frais de géomètre (EUR)</t>
        </is>
      </c>
      <c r="B11" s="9" t="n">
        <v>1000</v>
      </c>
    </row>
    <row r="12">
      <c r="A12" s="2" t="inlineStr">
        <is>
          <t>Coût de création de la PT PMA (EUR)</t>
        </is>
      </c>
      <c r="B12" s="9" t="n">
        <v>2000</v>
      </c>
    </row>
    <row r="13">
      <c r="A13" s="2" t="inlineStr">
        <is>
          <t>Nombre de nuits commercialisables / an</t>
        </is>
      </c>
      <c r="B13" s="10" t="n">
        <v>365</v>
      </c>
    </row>
    <row r="15">
      <c r="A15" s="4" t="inlineStr">
        <is>
          <t>1. COÛT FONCIER</t>
        </is>
      </c>
      <c r="B15" s="5" t="n"/>
      <c r="C15" s="5" t="n"/>
      <c r="D15" s="5" t="n"/>
      <c r="E15" s="5" t="n"/>
      <c r="F15" s="5" t="n"/>
      <c r="G15" s="5" t="n"/>
    </row>
    <row r="16">
      <c r="A16" s="2" t="inlineStr">
        <is>
          <t>Option retenue : FREEHOLD ou LEASEHOLD</t>
        </is>
      </c>
      <c r="B16" s="11" t="inlineStr">
        <is>
          <t>LEASEHOLD</t>
        </is>
      </c>
    </row>
    <row r="17">
      <c r="A17" s="2" t="inlineStr">
        <is>
          <t>Surface du terrain (ares)</t>
        </is>
      </c>
      <c r="B17" s="6" t="n">
        <v>6</v>
      </c>
    </row>
    <row r="18">
      <c r="A18" s="2" t="inlineStr">
        <is>
          <t>Surface du terrain (m²)</t>
        </is>
      </c>
      <c r="B18" s="10">
        <f>B17*100</f>
        <v/>
      </c>
    </row>
    <row r="19">
      <c r="A19" s="2" t="inlineStr">
        <is>
          <t>Prix FREEHOLD (IDR / are)</t>
        </is>
      </c>
      <c r="B19" s="8" t="n"/>
    </row>
    <row r="20">
      <c r="A20" s="2" t="inlineStr">
        <is>
          <t>Prix LEASEHOLD (IDR / are / an)</t>
        </is>
      </c>
      <c r="B20" s="8" t="n">
        <v>5000000</v>
      </c>
    </row>
    <row r="21">
      <c r="A21" s="2" t="inlineStr">
        <is>
          <t>Durée du leasehold (années)</t>
        </is>
      </c>
      <c r="B21" s="10" t="n">
        <v>30</v>
      </c>
    </row>
    <row r="22">
      <c r="A22" s="2" t="inlineStr">
        <is>
          <t>Frais d'emménagement (IDR)</t>
        </is>
      </c>
      <c r="B22" s="8" t="n">
        <v>0</v>
      </c>
    </row>
    <row r="23">
      <c r="A23" s="2" t="inlineStr">
        <is>
          <t>Cérémonie traditionnelle (IDR)</t>
        </is>
      </c>
      <c r="B23" s="8" t="n">
        <v>0</v>
      </c>
    </row>
    <row r="25">
      <c r="A25" s="12" t="inlineStr">
        <is>
          <t>Poste</t>
        </is>
      </c>
      <c r="B25" s="13" t="inlineStr">
        <is>
          <t>Taux</t>
        </is>
      </c>
      <c r="C25" s="13" t="inlineStr">
        <is>
          <t>Montant IDR</t>
        </is>
      </c>
      <c r="D25" s="13" t="inlineStr">
        <is>
          <t>Montant EUR</t>
        </is>
      </c>
    </row>
    <row r="26">
      <c r="A26" s="3" t="inlineStr">
        <is>
          <t>Prix du terrain</t>
        </is>
      </c>
      <c r="B26" s="14" t="n"/>
      <c r="C26" s="15">
        <f>IF($B$16="FREEHOLD",$B$17*$B$19,$B$17*$B$20*$B$21)</f>
        <v/>
      </c>
      <c r="D26" s="16">
        <f>C26/$B$7</f>
        <v/>
      </c>
    </row>
    <row r="27">
      <c r="A27" s="3" t="inlineStr">
        <is>
          <t>Taxes gouvernementales</t>
        </is>
      </c>
      <c r="B27" s="14">
        <f>$B$8</f>
        <v/>
      </c>
      <c r="C27" s="15">
        <f>C26*$B$8</f>
        <v/>
      </c>
      <c r="D27" s="16">
        <f>C27/$B$7</f>
        <v/>
      </c>
    </row>
    <row r="28">
      <c r="A28" s="3" t="inlineStr">
        <is>
          <t>Honoraires du notaire (forfait plancher en B10)</t>
        </is>
      </c>
      <c r="B28" s="14">
        <f>IF(C26=0,0,C28/C26)</f>
        <v/>
      </c>
      <c r="C28" s="15">
        <f>MAX(C26*$B$9,$B$10)</f>
        <v/>
      </c>
      <c r="D28" s="16">
        <f>C28/$B$7</f>
        <v/>
      </c>
    </row>
    <row r="29">
      <c r="A29" s="3" t="inlineStr">
        <is>
          <t>Sous-total frais de notaire (taxes + honoraires)</t>
        </is>
      </c>
      <c r="B29" s="14">
        <f>IF(C26=0,0,C29/C26)</f>
        <v/>
      </c>
      <c r="C29" s="15">
        <f>C27+C28</f>
        <v/>
      </c>
      <c r="D29" s="16">
        <f>C29/$B$7</f>
        <v/>
      </c>
    </row>
    <row r="30">
      <c r="A30" s="3" t="inlineStr">
        <is>
          <t>Frais de géomètre (forfait)</t>
        </is>
      </c>
      <c r="B30" s="3" t="n"/>
      <c r="C30" s="15">
        <f>$B$11*$B$7</f>
        <v/>
      </c>
      <c r="D30" s="16">
        <f>$B$11</f>
        <v/>
      </c>
    </row>
    <row r="31">
      <c r="A31" s="3" t="inlineStr">
        <is>
          <t>Frais d'emménagement</t>
        </is>
      </c>
      <c r="B31" s="14" t="n"/>
      <c r="C31" s="15">
        <f>$B$22</f>
        <v/>
      </c>
      <c r="D31" s="16">
        <f>C31/$B$7</f>
        <v/>
      </c>
    </row>
    <row r="32">
      <c r="A32" s="3" t="inlineStr">
        <is>
          <t>Cérémonie traditionnelle</t>
        </is>
      </c>
      <c r="B32" s="14" t="n"/>
      <c r="C32" s="15">
        <f>$B$23</f>
        <v/>
      </c>
      <c r="D32" s="16">
        <f>C32/$B$7</f>
        <v/>
      </c>
    </row>
    <row r="33">
      <c r="A33" s="17" t="inlineStr">
        <is>
          <t>COÛT FONCIER TOTAL</t>
        </is>
      </c>
      <c r="B33" s="18" t="n"/>
      <c r="C33" s="19">
        <f>C26+C29+C30+C31+C32</f>
        <v/>
      </c>
      <c r="D33" s="20">
        <f>C33/$B$7</f>
        <v/>
      </c>
    </row>
    <row r="35">
      <c r="A35" s="4" t="inlineStr">
        <is>
          <t>2. INVESTISSEMENT À CONSENTIR</t>
        </is>
      </c>
      <c r="B35" s="5" t="n"/>
      <c r="C35" s="5" t="n"/>
      <c r="D35" s="5" t="n"/>
      <c r="E35" s="5" t="n"/>
      <c r="F35" s="5" t="n"/>
      <c r="G35" s="5" t="n"/>
    </row>
    <row r="36">
      <c r="A36" s="2" t="inlineStr">
        <is>
          <t>Création de la PT PMA - à inclure ? (OUI / NON)</t>
        </is>
      </c>
      <c r="B36" s="11" t="inlineStr">
        <is>
          <t>OUI</t>
        </is>
      </c>
    </row>
    <row r="38">
      <c r="A38" s="12" t="inlineStr"/>
      <c r="B38" s="13" t="inlineStr">
        <is>
          <t>Désignation de la villa</t>
        </is>
      </c>
      <c r="C38" s="13" t="inlineStr">
        <is>
          <t>Construction (EUR)</t>
        </is>
      </c>
      <c r="D38" s="13" t="inlineStr">
        <is>
          <t>Ameublement (EUR)</t>
        </is>
      </c>
      <c r="E38" s="13" t="inlineStr">
        <is>
          <t>Total villa (EUR)</t>
        </is>
      </c>
      <c r="F38" s="13" t="inlineStr">
        <is>
          <t>Total villa (IDR)</t>
        </is>
      </c>
    </row>
    <row r="39">
      <c r="A39" s="21" t="inlineStr">
        <is>
          <t>Villa 1</t>
        </is>
      </c>
      <c r="B39" s="11" t="inlineStr">
        <is>
          <t>Villa 1</t>
        </is>
      </c>
      <c r="C39" s="9" t="n"/>
      <c r="D39" s="9" t="n"/>
      <c r="E39" s="16">
        <f>C39+D39</f>
        <v/>
      </c>
      <c r="F39" s="15">
        <f>E39*$B$7</f>
        <v/>
      </c>
    </row>
    <row r="40">
      <c r="A40" s="21" t="inlineStr">
        <is>
          <t>Villa 2</t>
        </is>
      </c>
      <c r="B40" s="11" t="n"/>
      <c r="C40" s="9" t="n"/>
      <c r="D40" s="9" t="n"/>
      <c r="E40" s="16">
        <f>C40+D40</f>
        <v/>
      </c>
      <c r="F40" s="15">
        <f>E40*$B$7</f>
        <v/>
      </c>
    </row>
    <row r="41">
      <c r="A41" s="21" t="inlineStr">
        <is>
          <t>Villa 3</t>
        </is>
      </c>
      <c r="B41" s="11" t="n"/>
      <c r="C41" s="9" t="n"/>
      <c r="D41" s="9" t="n"/>
      <c r="E41" s="16">
        <f>C41+D41</f>
        <v/>
      </c>
      <c r="F41" s="15">
        <f>E41*$B$7</f>
        <v/>
      </c>
    </row>
    <row r="42">
      <c r="A42" s="21" t="inlineStr">
        <is>
          <t>Villa 4</t>
        </is>
      </c>
      <c r="B42" s="11" t="n"/>
      <c r="C42" s="9" t="n"/>
      <c r="D42" s="9" t="n"/>
      <c r="E42" s="16">
        <f>C42+D42</f>
        <v/>
      </c>
      <c r="F42" s="15">
        <f>E42*$B$7</f>
        <v/>
      </c>
    </row>
    <row r="43">
      <c r="A43" s="21" t="inlineStr">
        <is>
          <t>Villa 5</t>
        </is>
      </c>
      <c r="B43" s="11" t="n"/>
      <c r="C43" s="9" t="n"/>
      <c r="D43" s="9" t="n"/>
      <c r="E43" s="16">
        <f>C43+D43</f>
        <v/>
      </c>
      <c r="F43" s="15">
        <f>E43*$B$7</f>
        <v/>
      </c>
    </row>
    <row r="44">
      <c r="A44" s="17" t="inlineStr">
        <is>
          <t>TOTAL VILLAS</t>
        </is>
      </c>
      <c r="B44" s="22" t="n"/>
      <c r="C44" s="20">
        <f>SUM(C39:C43)</f>
        <v/>
      </c>
      <c r="D44" s="20">
        <f>SUM(D39:D43)</f>
        <v/>
      </c>
      <c r="E44" s="20">
        <f>SUM(E39:E43)</f>
        <v/>
      </c>
      <c r="F44" s="19">
        <f>E44*$B$7</f>
        <v/>
      </c>
    </row>
    <row r="46">
      <c r="A46" s="12" t="inlineStr">
        <is>
          <t>Poste</t>
        </is>
      </c>
      <c r="B46" s="13" t="inlineStr">
        <is>
          <t>Taux</t>
        </is>
      </c>
      <c r="C46" s="13" t="inlineStr">
        <is>
          <t>Montant IDR</t>
        </is>
      </c>
      <c r="D46" s="13" t="inlineStr">
        <is>
          <t>Montant EUR</t>
        </is>
      </c>
    </row>
    <row r="47">
      <c r="A47" s="3" t="inlineStr">
        <is>
          <t>Coût foncier (report du tableau 1)</t>
        </is>
      </c>
      <c r="B47" s="14" t="n"/>
      <c r="C47" s="15">
        <f>C33</f>
        <v/>
      </c>
      <c r="D47" s="16">
        <f>C47/$B$7</f>
        <v/>
      </c>
    </row>
    <row r="48">
      <c r="A48" s="3" t="inlineStr">
        <is>
          <t>Constructions et ameublements (total villas)</t>
        </is>
      </c>
      <c r="B48" s="14" t="n"/>
      <c r="C48" s="15">
        <f>F44</f>
        <v/>
      </c>
      <c r="D48" s="16">
        <f>C48/$B$7</f>
        <v/>
      </c>
    </row>
    <row r="49">
      <c r="A49" s="3" t="inlineStr">
        <is>
          <t>Création de la PT PMA (si OUI en B36)</t>
        </is>
      </c>
      <c r="B49" s="14" t="n"/>
      <c r="C49" s="15">
        <f>IF($B$36="OUI",$B$12*$B$7,0)</f>
        <v/>
      </c>
      <c r="D49" s="16">
        <f>C49/$B$7</f>
        <v/>
      </c>
    </row>
    <row r="50">
      <c r="A50" s="17" t="inlineStr">
        <is>
          <t>INVESTISSEMENT TOTAL</t>
        </is>
      </c>
      <c r="B50" s="18" t="n"/>
      <c r="C50" s="19">
        <f>C47+C48+C49</f>
        <v/>
      </c>
      <c r="D50" s="20">
        <f>C50/$B$7</f>
        <v/>
      </c>
    </row>
    <row r="52">
      <c r="A52" s="4" t="inlineStr">
        <is>
          <t>3. REVENUS PRÉVISIONNELS PAR VILLA</t>
        </is>
      </c>
      <c r="B52" s="5" t="n"/>
      <c r="C52" s="5" t="n"/>
      <c r="D52" s="5" t="n"/>
      <c r="E52" s="5" t="n"/>
      <c r="F52" s="5" t="n"/>
      <c r="G52" s="5" t="n"/>
    </row>
    <row r="53">
      <c r="A53" s="2" t="inlineStr">
        <is>
          <t>Charges d'exploitation (% du revenu brut)</t>
        </is>
      </c>
      <c r="B53" s="7" t="n">
        <v>0.3</v>
      </c>
    </row>
    <row r="55">
      <c r="A55" s="12" t="inlineStr"/>
      <c r="B55" s="13" t="inlineStr">
        <is>
          <t>Désignation de la villa</t>
        </is>
      </c>
      <c r="C55" s="13" t="inlineStr">
        <is>
          <t>Taux d'occupation</t>
        </is>
      </c>
      <c r="D55" s="13" t="inlineStr">
        <is>
          <t>Prix nuitée (EUR)</t>
        </is>
      </c>
      <c r="E55" s="13" t="inlineStr">
        <is>
          <t>Nuits occupées / an</t>
        </is>
      </c>
      <c r="F55" s="13" t="inlineStr">
        <is>
          <t>Revenus bruts (EUR)</t>
        </is>
      </c>
      <c r="G55" s="13" t="inlineStr">
        <is>
          <t>Revenus bruts (IDR)</t>
        </is>
      </c>
    </row>
    <row r="56">
      <c r="A56" s="21" t="inlineStr">
        <is>
          <t>Villa 1</t>
        </is>
      </c>
      <c r="B56" s="3">
        <f>IF($B$39="","",$B$39)</f>
        <v/>
      </c>
      <c r="C56" s="23" t="n">
        <v>0.65</v>
      </c>
      <c r="D56" s="9" t="n">
        <v>250</v>
      </c>
      <c r="E56" s="24">
        <f>$B$13*C56</f>
        <v/>
      </c>
      <c r="F56" s="16">
        <f>E56*D56</f>
        <v/>
      </c>
      <c r="G56" s="15">
        <f>F56*$B$7</f>
        <v/>
      </c>
    </row>
    <row r="57">
      <c r="A57" s="21" t="inlineStr">
        <is>
          <t>Villa 2</t>
        </is>
      </c>
      <c r="B57" s="3">
        <f>IF($B$40="","",$B$40)</f>
        <v/>
      </c>
      <c r="C57" s="23" t="n"/>
      <c r="D57" s="9" t="n"/>
      <c r="E57" s="24">
        <f>$B$13*C57</f>
        <v/>
      </c>
      <c r="F57" s="16">
        <f>E57*D57</f>
        <v/>
      </c>
      <c r="G57" s="15">
        <f>F57*$B$7</f>
        <v/>
      </c>
    </row>
    <row r="58">
      <c r="A58" s="21" t="inlineStr">
        <is>
          <t>Villa 3</t>
        </is>
      </c>
      <c r="B58" s="3">
        <f>IF($B$41="","",$B$41)</f>
        <v/>
      </c>
      <c r="C58" s="23" t="n"/>
      <c r="D58" s="9" t="n"/>
      <c r="E58" s="24">
        <f>$B$13*C58</f>
        <v/>
      </c>
      <c r="F58" s="16">
        <f>E58*D58</f>
        <v/>
      </c>
      <c r="G58" s="15">
        <f>F58*$B$7</f>
        <v/>
      </c>
    </row>
    <row r="59">
      <c r="A59" s="21" t="inlineStr">
        <is>
          <t>Villa 4</t>
        </is>
      </c>
      <c r="B59" s="3">
        <f>IF($B$42="","",$B$42)</f>
        <v/>
      </c>
      <c r="C59" s="23" t="n"/>
      <c r="D59" s="9" t="n"/>
      <c r="E59" s="24">
        <f>$B$13*C59</f>
        <v/>
      </c>
      <c r="F59" s="16">
        <f>E59*D59</f>
        <v/>
      </c>
      <c r="G59" s="15">
        <f>F59*$B$7</f>
        <v/>
      </c>
    </row>
    <row r="60">
      <c r="A60" s="21" t="inlineStr">
        <is>
          <t>Villa 5</t>
        </is>
      </c>
      <c r="B60" s="3">
        <f>IF($B$43="","",$B$43)</f>
        <v/>
      </c>
      <c r="C60" s="23" t="n"/>
      <c r="D60" s="9" t="n"/>
      <c r="E60" s="24">
        <f>$B$13*C60</f>
        <v/>
      </c>
      <c r="F60" s="16">
        <f>E60*D60</f>
        <v/>
      </c>
      <c r="G60" s="15">
        <f>F60*$B$7</f>
        <v/>
      </c>
    </row>
    <row r="61">
      <c r="A61" s="17" t="inlineStr">
        <is>
          <t>TOTAL</t>
        </is>
      </c>
      <c r="B61" s="22" t="n"/>
      <c r="C61" s="22" t="n"/>
      <c r="D61" s="22" t="n"/>
      <c r="E61" s="25">
        <f>SUM(E56:E60)</f>
        <v/>
      </c>
      <c r="F61" s="20">
        <f>SUM(F56:F60)</f>
        <v/>
      </c>
      <c r="G61" s="19">
        <f>SUM(G56:G60)</f>
        <v/>
      </c>
    </row>
    <row r="63">
      <c r="A63" s="12" t="inlineStr">
        <is>
          <t>Poste</t>
        </is>
      </c>
      <c r="B63" s="13" t="inlineStr">
        <is>
          <t>Taux</t>
        </is>
      </c>
      <c r="C63" s="13" t="inlineStr">
        <is>
          <t>Montant IDR</t>
        </is>
      </c>
      <c r="D63" s="13" t="inlineStr">
        <is>
          <t>Montant EUR</t>
        </is>
      </c>
    </row>
    <row r="64">
      <c r="A64" s="17" t="inlineStr">
        <is>
          <t>REVENUS BRUTS ANNUELS</t>
        </is>
      </c>
      <c r="B64" s="22" t="n"/>
      <c r="C64" s="19">
        <f>G61</f>
        <v/>
      </c>
      <c r="D64" s="20">
        <f>F61</f>
        <v/>
      </c>
    </row>
    <row r="65">
      <c r="A65" s="3" t="inlineStr">
        <is>
          <t>Charges d'exploitation</t>
        </is>
      </c>
      <c r="B65" s="14">
        <f>$B$53</f>
        <v/>
      </c>
      <c r="C65" s="15">
        <f>C64*$B$53</f>
        <v/>
      </c>
      <c r="D65" s="16">
        <f>C65/$B$7</f>
        <v/>
      </c>
    </row>
    <row r="66">
      <c r="A66" s="17" t="inlineStr">
        <is>
          <t>REVENUS NETS ANNUELS</t>
        </is>
      </c>
      <c r="B66" s="18" t="n"/>
      <c r="C66" s="19">
        <f>C64-C65</f>
        <v/>
      </c>
      <c r="D66" s="20">
        <f>C66/$B$7</f>
        <v/>
      </c>
    </row>
    <row r="68">
      <c r="A68" s="4" t="inlineStr">
        <is>
          <t>INDICATEURS</t>
        </is>
      </c>
      <c r="B68" s="5" t="n"/>
      <c r="C68" s="5" t="n"/>
      <c r="D68" s="5" t="n"/>
      <c r="E68" s="5" t="n"/>
      <c r="F68" s="5" t="n"/>
      <c r="G68" s="5" t="n"/>
    </row>
    <row r="69">
      <c r="A69" s="3" t="inlineStr">
        <is>
          <t>Nombre de villas retenues dans le scénario</t>
        </is>
      </c>
      <c r="B69" s="26">
        <f>COUNTIF(D56:D60,"&gt;0")</f>
        <v/>
      </c>
    </row>
    <row r="70">
      <c r="A70" s="3" t="inlineStr">
        <is>
          <t>Rendement brut (revenus bruts / investissement total)</t>
        </is>
      </c>
      <c r="B70" s="18">
        <f>IF(C50=0,0,C64/C50)</f>
        <v/>
      </c>
    </row>
    <row r="71">
      <c r="A71" s="3" t="inlineStr">
        <is>
          <t>Rendement net (revenus nets / investissement total)</t>
        </is>
      </c>
      <c r="B71" s="18">
        <f>IF(C50=0,0,C66/C50)</f>
        <v/>
      </c>
    </row>
    <row r="72">
      <c r="A72" s="3" t="inlineStr">
        <is>
          <t>Retour sur investissement (années)</t>
        </is>
      </c>
      <c r="B72" s="27">
        <f>IF(C66=0,0,C50/C66)</f>
        <v/>
      </c>
    </row>
    <row r="74">
      <c r="A74" s="28" t="inlineStr">
        <is>
          <t>Document établi à titre indicatif, sans valeur contractuelle.</t>
        </is>
      </c>
    </row>
  </sheetData>
  <dataValidations count="2">
    <dataValidation sqref="B16" showDropDown="0" showInputMessage="0" showErrorMessage="0" allowBlank="0" type="list">
      <formula1>"FREEHOLD,LEASEHOLD"</formula1>
    </dataValidation>
    <dataValidation sqref="B36" showDropDown="0" showInputMessage="0" showErrorMessage="0" allowBlank="0" type="list">
      <formula1>"OUI,NON"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2026-09-02T10:07:49Z</dcterms:created>
  <dcterms:modified xsi:type="dcterms:W3CDTF">2026-09-02T10:07:49Z</dcterms:modified>
</cp:coreProperties>
</file>