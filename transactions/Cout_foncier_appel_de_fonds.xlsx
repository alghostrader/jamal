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t fonc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80808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dxfs count="1">
    <dxf>
      <font>
        <i val="1"/>
        <color rgb="00A6A6A6"/>
      </font>
      <fill>
        <patternFill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Agence</author>
  </authors>
  <commentList>
    <comment ref="B7" authorId="0" shapeId="0">
      <text>
        <t>Taux de référence BCE du 20/08/2026 : 1 EUR = 20 788,62 IDR (source : api.frankfurter.dev). À actualiser au taux du jour.</t>
      </text>
    </comment>
    <comment ref="B10" authorId="0" shapeId="0">
      <text>
        <t>Forfait plancher : si le pourcentage d'honoraires donne moins que ce montant, c'est le forfait qui s'applique.</t>
      </text>
    </comment>
    <comment ref="B15" authorId="0" shapeId="0">
      <text>
        <t>Choisir FREEHOLD ou LEASEHOLD dans la liste déroulante.
FREEHOLD -&gt; prix du terrain = surface x B18 (prix à l'are, sans durée).
LEASEHOLD -&gt; prix du terrain = surface x B19 x B20 (prix à l'are et par an x durée).</t>
      </text>
    </comment>
    <comment ref="B20" authorId="0" shapeId="0">
      <text>
        <t>Utilisée uniquement en LEASEHOLD. En FREEHOLD la cellule est grisée et n'entre dans aucun calcul.</t>
      </text>
    </comment>
    <comment ref="B21" authorId="0" shapeId="0">
      <text>
        <t>Case à cocher : OUI ajoute la commission agence (taux de la cellule B22) au prix vendeur, NON la retire.</t>
      </text>
    </comment>
    <comment ref="B22" authorId="0" shapeId="0">
      <text>
        <t>Taux appliqué au prix vendeur. 25% correspond à un prix vendeur de 4 000 000 IDR/are/an revendu 5 000 000 au client. À ajuster selon le dossier.</t>
      </text>
    </comment>
    <comment ref="B23" authorId="0" shapeId="0">
      <text>
        <t>Montant forfaitaire à renseigner selon le dossier.</t>
      </text>
    </comment>
    <comment ref="B24" authorId="0" shapeId="0">
      <text>
        <t>Cérémonie traditionnelle balinaise. Montant forfaitaire à renseigner selon le dossier.</t>
      </text>
    </comment>
    <comment ref="C27" authorId="0" shapeId="0">
      <text>
        <t>FREEHOLD : surface x prix à l'are (B16 x B18).
LEASEHOLD : surface x prix à l'are et par an x durée (B16 x B19 x B20).</t>
      </text>
    </comment>
    <comment ref="C31" authorId="0" shapeId="0">
      <text>
        <t>MAX entre le pourcentage d'honoraires (B9) et le forfait minimum (B10) : si le pourcentage donne moins que le forfait, c'est le forfait qui s'applique.
La colonne Taux affiche le taux réellement supporté.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CALCUL DU COÛT FONCIER ET APPEL DE FONDS</t>
        </is>
      </c>
    </row>
    <row r="2">
      <c r="A2" s="2" t="inlineStr">
        <is>
          <t>Client :</t>
        </is>
      </c>
    </row>
    <row r="3">
      <c r="A3" s="2" t="inlineStr">
        <is>
          <t>Terrain / localisation :</t>
        </is>
      </c>
    </row>
    <row r="4">
      <c r="A4" s="2" t="inlineStr">
        <is>
          <t>Date :</t>
        </is>
      </c>
    </row>
    <row r="6">
      <c r="A6" s="1" t="inlineStr">
        <is>
          <t>PARAMÈTRES GÉNÉRAUX (cellules à modifier)</t>
        </is>
      </c>
    </row>
    <row r="7">
      <c r="A7" s="2" t="inlineStr">
        <is>
          <t>Taux de change (IDR pour 1 EUR)</t>
        </is>
      </c>
      <c r="B7" s="3" t="n">
        <v>20788.62</v>
      </c>
    </row>
    <row r="8">
      <c r="A8" s="2" t="inlineStr">
        <is>
          <t>Taxes gouvernementales (% du prix officiel)</t>
        </is>
      </c>
      <c r="B8" s="4" t="n">
        <v>0.05</v>
      </c>
    </row>
    <row r="9">
      <c r="A9" s="2" t="inlineStr">
        <is>
          <t>Honoraires du notaire (% du prix officiel)</t>
        </is>
      </c>
      <c r="B9" s="4" t="n">
        <v>0.01</v>
      </c>
    </row>
    <row r="10">
      <c r="A10" s="2" t="inlineStr">
        <is>
          <t>Honoraires du notaire - forfait minimum (IDR)</t>
        </is>
      </c>
      <c r="B10" s="5" t="n">
        <v>20000000</v>
      </c>
    </row>
    <row r="11">
      <c r="A11" s="2" t="inlineStr">
        <is>
          <t>Frais de géomètre (EUR)</t>
        </is>
      </c>
      <c r="B11" s="3" t="n">
        <v>1000</v>
      </c>
    </row>
    <row r="12">
      <c r="A12" s="2" t="inlineStr">
        <is>
          <t>Taux d'acompte (appel de fonds)</t>
        </is>
      </c>
      <c r="B12" s="4" t="n">
        <v>0.1</v>
      </c>
    </row>
    <row r="14">
      <c r="A14" s="1" t="inlineStr">
        <is>
          <t>1. TERRAIN</t>
        </is>
      </c>
    </row>
    <row r="15">
      <c r="A15" s="2" t="inlineStr">
        <is>
          <t>Option retenue : FREEHOLD ou LEASEHOLD</t>
        </is>
      </c>
      <c r="B15" s="2" t="inlineStr">
        <is>
          <t>LEASEHOLD</t>
        </is>
      </c>
    </row>
    <row r="16">
      <c r="A16" s="2" t="inlineStr">
        <is>
          <t>Surface du terrain (ares)</t>
        </is>
      </c>
      <c r="B16" s="3" t="n">
        <v>6</v>
      </c>
    </row>
    <row r="17">
      <c r="A17" s="2" t="inlineStr">
        <is>
          <t>Surface du terrain (m²)</t>
        </is>
      </c>
      <c r="B17" s="5">
        <f>B16*100</f>
        <v/>
      </c>
    </row>
    <row r="18">
      <c r="A18" s="2" t="inlineStr">
        <is>
          <t>Prix FREEHOLD - prix vendeur (IDR / are)</t>
        </is>
      </c>
      <c r="B18" s="5" t="n"/>
      <c r="C18" s="6">
        <f>IF($B$15="FREEHOLD",IF($B$18&gt;0,"","A RENSEIGNER"),"sans objet en LEASEHOLD")</f>
        <v/>
      </c>
    </row>
    <row r="19">
      <c r="A19" s="2" t="inlineStr">
        <is>
          <t>Prix LEASEHOLD - prix vendeur (IDR / are / an)</t>
        </is>
      </c>
      <c r="B19" s="5" t="n">
        <v>4000000</v>
      </c>
      <c r="C19" s="6">
        <f>IF($B$15="LEASEHOLD",IF($B$19&gt;0,"","A RENSEIGNER"),"sans objet en FREEHOLD")</f>
        <v/>
      </c>
    </row>
    <row r="20">
      <c r="A20" s="2" t="inlineStr">
        <is>
          <t>Durée du leasehold (années)</t>
        </is>
      </c>
      <c r="B20" s="5" t="n">
        <v>30</v>
      </c>
      <c r="C20" s="6">
        <f>IF($B$15="LEASEHOLD",IF($B$20&gt;0,"","A RENSEIGNER"),"sans objet en FREEHOLD")</f>
        <v/>
      </c>
    </row>
    <row r="21">
      <c r="A21" s="2" t="inlineStr">
        <is>
          <t>Commission agence - à appliquer ? (OUI / NON)</t>
        </is>
      </c>
      <c r="B21" s="2" t="inlineStr">
        <is>
          <t>OUI</t>
        </is>
      </c>
    </row>
    <row r="22">
      <c r="A22" s="2" t="inlineStr">
        <is>
          <t>Taux de commission agence (% du prix vendeur)</t>
        </is>
      </c>
      <c r="B22" s="4" t="n">
        <v>0.25</v>
      </c>
    </row>
    <row r="23">
      <c r="A23" s="2" t="inlineStr">
        <is>
          <t>Frais d'emménagement (IDR)</t>
        </is>
      </c>
      <c r="B23" s="5" t="n">
        <v>0</v>
      </c>
    </row>
    <row r="24">
      <c r="A24" s="2" t="inlineStr">
        <is>
          <t>Cérémonie traditionnelle (IDR)</t>
        </is>
      </c>
      <c r="B24" s="5" t="n">
        <v>0</v>
      </c>
    </row>
    <row r="26">
      <c r="A26" s="1" t="inlineStr">
        <is>
          <t>Poste</t>
        </is>
      </c>
      <c r="B26" s="1" t="inlineStr">
        <is>
          <t>Taux</t>
        </is>
      </c>
      <c r="C26" s="1" t="inlineStr">
        <is>
          <t>Montant IDR</t>
        </is>
      </c>
      <c r="D26" s="1" t="inlineStr">
        <is>
          <t>Montant EUR</t>
        </is>
      </c>
    </row>
    <row r="27">
      <c r="A27" s="2" t="inlineStr">
        <is>
          <t>Prix du terrain - PRIX VENDEUR</t>
        </is>
      </c>
      <c r="C27" s="5">
        <f>IF($B$15="FREEHOLD",$B$16*$B$18,$B$16*$B$19*$B$20)</f>
        <v/>
      </c>
      <c r="D27" s="3">
        <f>C27/$B$7</f>
        <v/>
      </c>
    </row>
    <row r="28">
      <c r="A28" s="2" t="inlineStr">
        <is>
          <t>Commission agence (si OUI en B21)</t>
        </is>
      </c>
      <c r="B28" s="4">
        <f>IF($B$21="OUI",$B$22,0)</f>
        <v/>
      </c>
      <c r="C28" s="5">
        <f>IF($B$21="OUI",C27*$B$22,0)</f>
        <v/>
      </c>
      <c r="D28" s="3">
        <f>C28/$B$7</f>
        <v/>
      </c>
    </row>
    <row r="29">
      <c r="A29" s="1" t="inlineStr">
        <is>
          <t>PRIX DU TERRAIN AVEC COMMISSION</t>
        </is>
      </c>
      <c r="C29" s="7">
        <f>C27+C28</f>
        <v/>
      </c>
      <c r="D29" s="8">
        <f>C29/$B$7</f>
        <v/>
      </c>
    </row>
    <row r="30">
      <c r="A30" s="2" t="inlineStr">
        <is>
          <t>Taxes gouvernementales (sur le prix officiel du terrain)</t>
        </is>
      </c>
      <c r="B30" s="4">
        <f>$B$8</f>
        <v/>
      </c>
      <c r="C30" s="5">
        <f>C27*$B$8</f>
        <v/>
      </c>
      <c r="D30" s="3">
        <f>C30/$B$7</f>
        <v/>
      </c>
    </row>
    <row r="31">
      <c r="A31" s="2" t="inlineStr">
        <is>
          <t>Honoraires du notaire (sur le prix officiel, forfait plancher en B10)</t>
        </is>
      </c>
      <c r="B31" s="4">
        <f>IF(C27=0,0,C31/C27)</f>
        <v/>
      </c>
      <c r="C31" s="5">
        <f>MAX(C27*$B$9,$B$10)</f>
        <v/>
      </c>
      <c r="D31" s="3">
        <f>C31/$B$7</f>
        <v/>
      </c>
    </row>
    <row r="32">
      <c r="A32" s="2" t="inlineStr">
        <is>
          <t>Sous-total frais de notaire (taxes + honoraires)</t>
        </is>
      </c>
      <c r="B32" s="4">
        <f>IF(C27=0,0,C32/C27)</f>
        <v/>
      </c>
      <c r="C32" s="5">
        <f>C30+C31</f>
        <v/>
      </c>
      <c r="D32" s="3">
        <f>C32/$B$7</f>
        <v/>
      </c>
    </row>
    <row r="33">
      <c r="A33" s="2" t="inlineStr">
        <is>
          <t>Frais de géomètre (forfait)</t>
        </is>
      </c>
      <c r="C33" s="5">
        <f>$B$11*$B$7</f>
        <v/>
      </c>
      <c r="D33" s="3">
        <f>$B$11</f>
        <v/>
      </c>
    </row>
    <row r="34">
      <c r="A34" s="2" t="inlineStr">
        <is>
          <t>Frais d'emménagement</t>
        </is>
      </c>
      <c r="C34" s="5">
        <f>$B$23</f>
        <v/>
      </c>
      <c r="D34" s="3">
        <f>C34/$B$7</f>
        <v/>
      </c>
    </row>
    <row r="35">
      <c r="A35" s="2" t="inlineStr">
        <is>
          <t>Cérémonie traditionnelle</t>
        </is>
      </c>
      <c r="C35" s="5">
        <f>$B$24</f>
        <v/>
      </c>
      <c r="D35" s="3">
        <f>C35/$B$7</f>
        <v/>
      </c>
    </row>
    <row r="36">
      <c r="A36" s="1" t="inlineStr">
        <is>
          <t>TOTAL DE L'OPÉRATION POUR L'ACHETEUR</t>
        </is>
      </c>
      <c r="C36" s="7">
        <f>C29+C32+C33+C34+C35</f>
        <v/>
      </c>
      <c r="D36" s="8">
        <f>C36/$B$7</f>
        <v/>
      </c>
    </row>
    <row r="38">
      <c r="A38" s="1" t="inlineStr">
        <is>
          <t>2. APPEL DE FONDS</t>
        </is>
      </c>
    </row>
    <row r="39">
      <c r="A39" s="1" t="inlineStr">
        <is>
          <t>Poste</t>
        </is>
      </c>
      <c r="B39" s="1" t="inlineStr">
        <is>
          <t>Taux</t>
        </is>
      </c>
      <c r="C39" s="1" t="inlineStr">
        <is>
          <t>Montant IDR</t>
        </is>
      </c>
      <c r="D39" s="1" t="inlineStr">
        <is>
          <t>Montant EUR</t>
        </is>
      </c>
    </row>
    <row r="40">
      <c r="A40" s="1" t="inlineStr">
        <is>
          <t>Acompte du total de l'opération (réservation notaire)</t>
        </is>
      </c>
      <c r="B40" s="4">
        <f>$B$12</f>
        <v/>
      </c>
      <c r="C40" s="7">
        <f>C36*$B$12</f>
        <v/>
      </c>
      <c r="D40" s="8">
        <f>C40/$B$7</f>
        <v/>
      </c>
    </row>
    <row r="41">
      <c r="A41" s="2" t="inlineStr">
        <is>
          <t>Solde à régler après acompte</t>
        </is>
      </c>
      <c r="C41" s="5">
        <f>C36-C40</f>
        <v/>
      </c>
      <c r="D41" s="3">
        <f>C41/$B$7</f>
        <v/>
      </c>
    </row>
    <row r="43">
      <c r="A43" s="2" t="inlineStr">
        <is>
          <t>Pour information : acompte sur le prix du terrain seul</t>
        </is>
      </c>
      <c r="C43" s="5">
        <f>C29*$B$12</f>
        <v/>
      </c>
      <c r="D43" s="3">
        <f>C43/$B$7</f>
        <v/>
      </c>
    </row>
    <row r="45">
      <c r="A45" s="1" t="inlineStr">
        <is>
          <t>NOTES / HYPOTHÈSES</t>
        </is>
      </c>
    </row>
    <row r="46">
      <c r="A46" s="2" t="inlineStr">
        <is>
          <t>Le choix FREEHOLD / LEASEHOLD en B15 pilote le calcul du prix du terrain ; le prix inutilisé (B18 ou B19/B20) est grisé et ignoré. 1 are = 100 m².</t>
        </is>
      </c>
    </row>
    <row r="47">
      <c r="A47" s="2" t="inlineStr">
        <is>
          <t>FREEHOLD : prix exprimé en IDR par are, sans durée. LEASEHOLD : prix en IDR par are et par an, multiplié par la durée du bail.</t>
        </is>
      </c>
    </row>
    <row r="48">
      <c r="A48" s="2" t="inlineStr">
        <is>
          <t>Les prix saisis sont des PRIX VENDEUR : la commission agence est ajoutée séparément en ligne 28, uniquement si B21 = OUI, au taux de la cellule B22.</t>
        </is>
      </c>
    </row>
    <row r="49">
      <c r="A49" s="2" t="inlineStr">
        <is>
          <t>Les frais de notaire portent sur le PRIX OFFICIEL du terrain (ligne 27), commission exclue : taxes gouvernementales (B8) + honoraires (B9) avec un forfait plancher de 20 000 000 IDR (B10).</t>
        </is>
      </c>
    </row>
    <row r="50">
      <c r="A50" s="2" t="inlineStr">
        <is>
          <t>S'ajoutent au total le géomètre (B11), les frais d'emménagement (B23) et la cérémonie traditionnelle (B24), ces deux derniers saisis en IDR.</t>
        </is>
      </c>
    </row>
    <row r="51">
      <c r="A51" s="2" t="inlineStr">
        <is>
          <t>Taux de change en B7 : référence BCE du 20/08/2026 (1 EUR = 20 788,62 IDR). À actualiser avant envoi au client.</t>
        </is>
      </c>
    </row>
    <row r="52">
      <c r="A52" s="2" t="inlineStr">
        <is>
          <t>Seules les cellules de paramètres (colonne B, lignes 7 à 12 et 15 à 24) sont à saisir : tout le reste du tableau est calculé par formules.</t>
        </is>
      </c>
    </row>
    <row r="53">
      <c r="A53" s="1" t="inlineStr">
        <is>
          <t>DOCUMENT INTERNE - contient la commission agence. Pour une présentation client, utiliser la projection de projet version client.</t>
        </is>
      </c>
    </row>
  </sheetData>
  <conditionalFormatting sqref="A18:C18">
    <cfRule type="expression" priority="1" dxfId="0">
      <formula>$B$15&lt;&gt;"FREEHOLD"</formula>
    </cfRule>
  </conditionalFormatting>
  <conditionalFormatting sqref="A19:C19">
    <cfRule type="expression" priority="2" dxfId="0">
      <formula>$B$15&lt;&gt;"LEASEHOLD"</formula>
    </cfRule>
  </conditionalFormatting>
  <conditionalFormatting sqref="A20:C20">
    <cfRule type="expression" priority="3" dxfId="0">
      <formula>$B$15&lt;&gt;"LEASEHOLD"</formula>
    </cfRule>
  </conditionalFormatting>
  <dataValidations count="2">
    <dataValidation sqref="B15" showDropDown="0" showInputMessage="0" showErrorMessage="0" allowBlank="0" type="list">
      <formula1>"FREEHOLD,LEASEHOLD"</formula1>
    </dataValidation>
    <dataValidation sqref="B21" showDropDown="0" showInputMessage="0" showErrorMessage="0" allowBlank="0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2026-09-02T12:53:39Z</dcterms:created>
  <dcterms:modified xsi:type="dcterms:W3CDTF">2026-09-02T12:53:39Z</dcterms:modified>
</cp:coreProperties>
</file>