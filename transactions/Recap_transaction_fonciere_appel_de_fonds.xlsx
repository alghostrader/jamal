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itula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Agence</author>
  </authors>
  <commentList>
    <comment ref="B12" authorId="0" shapeId="0">
      <text>
        <t>Taux de reference BCE du 20/08/2026 : 1 EUR = 20 788,62 IDR (source : api.frankfurter.dev).
A actualiser au taux du jour / au taux retenu avec le client.</t>
      </text>
    </comment>
    <comment ref="B13" authorId="0" shapeId="0">
      <text>
        <t>Frais de notaire calcules sur le prix client (prix avec commission). Hypothese : 6% indique par l'agent.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3" customWidth="1" min="3" max="3"/>
    <col width="26" customWidth="1" min="4" max="4"/>
    <col width="18" customWidth="1" min="5" max="5"/>
    <col width="15" customWidth="1" min="6" max="6"/>
  </cols>
  <sheetData>
    <row r="1">
      <c r="A1" s="1" t="inlineStr">
        <is>
          <t>RECAPITULATIF TRANSACTION FONCIERE - APPEL DE FONDS</t>
        </is>
      </c>
    </row>
    <row r="2">
      <c r="A2" s="2" t="inlineStr">
        <is>
          <t>Client :</t>
        </is>
      </c>
    </row>
    <row r="3">
      <c r="A3" s="2" t="inlineStr">
        <is>
          <t>Terrain / localisation :</t>
        </is>
      </c>
    </row>
    <row r="4">
      <c r="A4" s="2" t="inlineStr">
        <is>
          <t>Date :</t>
        </is>
      </c>
    </row>
    <row r="6">
      <c r="A6" s="1" t="inlineStr">
        <is>
          <t>PARAMETRES (cellules a modifier)</t>
        </is>
      </c>
    </row>
    <row r="7">
      <c r="A7" s="2" t="inlineStr">
        <is>
          <t>Surface du terrain (ares)</t>
        </is>
      </c>
      <c r="B7" s="3" t="n">
        <v>6</v>
      </c>
    </row>
    <row r="8">
      <c r="A8" s="2" t="inlineStr">
        <is>
          <t>Surface du terrain (m2)</t>
        </is>
      </c>
      <c r="B8" s="4">
        <f>B7*100</f>
        <v/>
      </c>
    </row>
    <row r="9">
      <c r="A9" s="2" t="inlineStr">
        <is>
          <t>Duree du leasehold (annees)</t>
        </is>
      </c>
      <c r="B9" s="4" t="n">
        <v>30</v>
      </c>
    </row>
    <row r="10">
      <c r="A10" s="2" t="inlineStr">
        <is>
          <t>Prix vendeur (IDR / are / an)</t>
        </is>
      </c>
      <c r="B10" s="4" t="n">
        <v>4000000</v>
      </c>
    </row>
    <row r="11">
      <c r="A11" s="2" t="inlineStr">
        <is>
          <t>Prix client avec commission (IDR / are / an)</t>
        </is>
      </c>
      <c r="B11" s="4" t="n">
        <v>5000000</v>
      </c>
    </row>
    <row r="12">
      <c r="A12" s="2" t="inlineStr">
        <is>
          <t>Taux de change (IDR pour 1 EUR)</t>
        </is>
      </c>
      <c r="B12" s="3" t="n">
        <v>20788.62</v>
      </c>
    </row>
    <row r="13">
      <c r="A13" s="2" t="inlineStr">
        <is>
          <t>Taux frais de notaire</t>
        </is>
      </c>
      <c r="B13" s="5" t="n">
        <v>0.06</v>
      </c>
    </row>
    <row r="14">
      <c r="A14" s="2" t="inlineStr">
        <is>
          <t>Frais de geometre (EUR)</t>
        </is>
      </c>
      <c r="B14" s="3" t="n">
        <v>1000</v>
      </c>
    </row>
    <row r="15">
      <c r="A15" s="2" t="inlineStr">
        <is>
          <t>Taux d'acompte (appel de fonds)</t>
        </is>
      </c>
      <c r="B15" s="5" t="n">
        <v>0.1</v>
      </c>
    </row>
    <row r="17">
      <c r="A17" s="1" t="inlineStr">
        <is>
          <t>DETAIL DU CALCUL</t>
        </is>
      </c>
    </row>
    <row r="18">
      <c r="A18" s="1" t="inlineStr">
        <is>
          <t>Poste</t>
        </is>
      </c>
      <c r="B18" s="1" t="inlineStr">
        <is>
          <t>Surface (ares)</t>
        </is>
      </c>
      <c r="C18" s="1" t="inlineStr">
        <is>
          <t>Duree (ans)</t>
        </is>
      </c>
      <c r="D18" s="1" t="inlineStr">
        <is>
          <t>Prix unitaire (IDR/are/an)</t>
        </is>
      </c>
      <c r="E18" s="1" t="inlineStr">
        <is>
          <t>Montant IDR</t>
        </is>
      </c>
      <c r="F18" s="1" t="inlineStr">
        <is>
          <t>Montant EUR</t>
        </is>
      </c>
    </row>
    <row r="19">
      <c r="A19" s="2" t="inlineStr">
        <is>
          <t>Prix du terrain - PRIX VENDEUR</t>
        </is>
      </c>
      <c r="B19" s="3">
        <f>B7</f>
        <v/>
      </c>
      <c r="C19" s="4">
        <f>B9</f>
        <v/>
      </c>
      <c r="D19" s="4">
        <f>B10</f>
        <v/>
      </c>
      <c r="E19" s="4">
        <f>B19*C19*D19</f>
        <v/>
      </c>
      <c r="F19" s="3">
        <f>E19/$B$12</f>
        <v/>
      </c>
    </row>
    <row r="20">
      <c r="A20" s="2" t="inlineStr">
        <is>
          <t>Prix du terrain - PRIX CLIENT (avec commission)</t>
        </is>
      </c>
      <c r="B20" s="3">
        <f>B7</f>
        <v/>
      </c>
      <c r="C20" s="4">
        <f>B9</f>
        <v/>
      </c>
      <c r="D20" s="4">
        <f>B11</f>
        <v/>
      </c>
      <c r="E20" s="4">
        <f>B20*C20*D20</f>
        <v/>
      </c>
      <c r="F20" s="3">
        <f>E20/$B$12</f>
        <v/>
      </c>
    </row>
    <row r="21">
      <c r="A21" s="2" t="inlineStr">
        <is>
          <t>dont commission agence (ecart vendeur / client)</t>
        </is>
      </c>
      <c r="E21" s="4">
        <f>E20-E19</f>
        <v/>
      </c>
      <c r="F21" s="3">
        <f>E21/$B$12</f>
        <v/>
      </c>
    </row>
    <row r="23">
      <c r="A23" s="1" t="inlineStr">
        <is>
          <t>FRAIS ANNEXES</t>
        </is>
      </c>
    </row>
    <row r="24">
      <c r="A24" s="2" t="inlineStr">
        <is>
          <t>Frais de notaire (6% du prix client)</t>
        </is>
      </c>
      <c r="D24" s="5">
        <f>B13</f>
        <v/>
      </c>
      <c r="E24" s="4">
        <f>E20*$B$13</f>
        <v/>
      </c>
      <c r="F24" s="3">
        <f>E24/$B$12</f>
        <v/>
      </c>
    </row>
    <row r="25">
      <c r="A25" s="2" t="inlineStr">
        <is>
          <t>Frais de geometre (forfait 1 000 EUR)</t>
        </is>
      </c>
      <c r="E25" s="4">
        <f>$B$14*$B$12</f>
        <v/>
      </c>
      <c r="F25" s="3">
        <f>$B$14</f>
        <v/>
      </c>
    </row>
    <row r="27">
      <c r="A27" s="1" t="inlineStr">
        <is>
          <t>TOTAL DE L'OPERATION POUR L'ACHETEUR</t>
        </is>
      </c>
      <c r="E27" s="6">
        <f>E20+E24+E25</f>
        <v/>
      </c>
      <c r="F27" s="7">
        <f>E27/$B$12</f>
        <v/>
      </c>
    </row>
    <row r="29">
      <c r="A29" s="1" t="inlineStr">
        <is>
          <t>APPEL DE FONDS</t>
        </is>
      </c>
    </row>
    <row r="30">
      <c r="A30" s="2" t="inlineStr">
        <is>
          <t>Acompte 10% du total de l'operation (reservation notaire)</t>
        </is>
      </c>
      <c r="D30" s="5">
        <f>B15</f>
        <v/>
      </c>
      <c r="E30" s="6">
        <f>E27*$B$15</f>
        <v/>
      </c>
      <c r="F30" s="7">
        <f>E30/$B$12</f>
        <v/>
      </c>
    </row>
    <row r="31">
      <c r="A31" s="2" t="inlineStr">
        <is>
          <t>Solde a regler apres acompte</t>
        </is>
      </c>
      <c r="E31" s="4">
        <f>E27-E30</f>
        <v/>
      </c>
      <c r="F31" s="3">
        <f>E31/$B$12</f>
        <v/>
      </c>
    </row>
    <row r="33">
      <c r="A33" s="2" t="inlineStr">
        <is>
          <t>Pour information : 10% du prix du terrain seul</t>
        </is>
      </c>
      <c r="E33" s="4">
        <f>E20*$B$15</f>
        <v/>
      </c>
      <c r="F33" s="3">
        <f>E33/$B$12</f>
        <v/>
      </c>
    </row>
    <row r="35">
      <c r="A35" s="1" t="inlineStr">
        <is>
          <t>NOTES / HYPOTHESES</t>
        </is>
      </c>
    </row>
    <row r="36">
      <c r="A36" s="2" t="inlineStr">
        <is>
          <t>1 are = 100 m2 -&gt; terrain de 600 m2. Prix leasehold exprime en IDR par are et par an, sur 30 ans.</t>
        </is>
      </c>
    </row>
    <row r="37">
      <c r="A37" s="2" t="inlineStr">
        <is>
          <t>Taux de change en B12 : reference BCE du 20/08/2026 (1 EUR = 20 788,62 IDR). A actualiser avant envoi au client.</t>
        </is>
      </c>
    </row>
    <row r="38">
      <c r="A38" s="2" t="inlineStr">
        <is>
          <t>Frais de notaire (B13) calcules sur le prix client avec commission. Modifier la formule en E24 si la base retenue est le prix vendeur.</t>
        </is>
      </c>
    </row>
    <row r="39">
      <c r="A39" s="2" t="inlineStr">
        <is>
          <t>Frais de geometre saisis en EUR (B14) et convertis en IDR au taux B12.</t>
        </is>
      </c>
    </row>
    <row r="40">
      <c r="A40" s="2" t="inlineStr">
        <is>
          <t>Seules les cellules de parametres (colonne B, lignes 7 a 15) sont a saisir : tout le reste du tableau est calcule par formules et se met a jour automatiquement.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2026-08-21T06:03:46Z</dcterms:created>
  <dcterms:modified xsi:type="dcterms:W3CDTF">2026-08-21T06:03:46Z</dcterms:modified>
</cp:coreProperties>
</file>