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itula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Agence</author>
  </authors>
  <commentList>
    <comment ref="B10" authorId="0" shapeId="0">
      <text>
        <t>Prix d'achat en pleine propriete, exprime en IDR par are (pas de duree). A renseigner avec le prix negocie du dossier.
Exemple : 6 ares a 900 000 000 IDR/are = 5 400 000 000 IDR.</t>
      </text>
    </comment>
    <comment ref="B11" authorId="0" shapeId="0">
      <text>
        <t>Prix d'achat en pleine propriete, exprime en IDR par are (pas de duree). A renseigner avec le prix negocie du dossier.
Exemple : 6 ares a 900 000 000 IDR/are = 5 400 000 000 IDR.</t>
      </text>
    </comment>
    <comment ref="B12" authorId="0" shapeId="0">
      <text>
        <t>Taux de reference BCE du 20/08/2026 : 1 EUR = 20 788,62 IDR (source : api.frankfurter.dev).
A actualiser au taux du jour / au taux retenu avec le client.</t>
      </text>
    </comment>
    <comment ref="B13" authorId="0" shapeId="0">
      <text>
        <t>Taxes gouvernementales : 5% du prix client (prix avec commission). Hypothese indiquee par l'agent.</t>
      </text>
    </comment>
    <comment ref="B14" authorId="0" shapeId="0">
      <text>
        <t>Honoraires du notaire : 1% du prix client (prix avec commission). Hypothese indiquee par l'agent.</t>
      </text>
    </comment>
    <comment ref="B15" authorId="0" shapeId="0">
      <text>
        <t>Forfait plancher : si le pourcentage donne moins de 20 000 000 IDR, ce forfait s'applique a la place du pourcentage.</t>
      </text>
    </comment>
    <comment ref="D27" authorId="0" shapeId="0">
      <text>
        <t>MAX entre le pourcentage d'honoraires et le forfait minimum : si le pourcentage donne moins de 20 000 000 IDR, c'est le forfait qui s'applique.
La colonne des taux affiche le taux reellement supporte.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26" customWidth="1" min="3" max="3"/>
    <col width="18" customWidth="1" min="4" max="4"/>
    <col width="15" customWidth="1" min="5" max="5"/>
  </cols>
  <sheetData>
    <row r="1">
      <c r="A1" s="1" t="inlineStr">
        <is>
          <t>RECAPITULATIF TRANSACTION FONCIERE - APPEL DE FONDS</t>
        </is>
      </c>
    </row>
    <row r="2">
      <c r="A2" s="1" t="inlineStr">
        <is>
          <t>Regime : FREEHOLD (pleine propriete)</t>
        </is>
      </c>
    </row>
    <row r="3">
      <c r="A3" s="2" t="inlineStr">
        <is>
          <t>Client :</t>
        </is>
      </c>
    </row>
    <row r="4">
      <c r="A4" s="2" t="inlineStr">
        <is>
          <t>Terrain / localisation :</t>
        </is>
      </c>
    </row>
    <row r="5">
      <c r="A5" s="2" t="inlineStr">
        <is>
          <t>Date :</t>
        </is>
      </c>
    </row>
    <row r="7">
      <c r="A7" s="1" t="inlineStr">
        <is>
          <t>PARAMETRES (cellules a modifier)</t>
        </is>
      </c>
    </row>
    <row r="8">
      <c r="A8" s="2" t="inlineStr">
        <is>
          <t>Surface du terrain (ares)</t>
        </is>
      </c>
      <c r="B8" s="3" t="n">
        <v>6</v>
      </c>
    </row>
    <row r="9">
      <c r="A9" s="2" t="inlineStr">
        <is>
          <t>Surface du terrain (m2)</t>
        </is>
      </c>
      <c r="B9" s="4">
        <f>B8*100</f>
        <v/>
      </c>
    </row>
    <row r="10">
      <c r="A10" s="2" t="inlineStr">
        <is>
          <t>Prix vendeur (IDR / are) - A SAISIR</t>
        </is>
      </c>
      <c r="B10" s="4" t="n"/>
    </row>
    <row r="11">
      <c r="A11" s="2" t="inlineStr">
        <is>
          <t>Prix client avec commission (IDR / are) - A SAISIR</t>
        </is>
      </c>
      <c r="B11" s="4" t="n"/>
    </row>
    <row r="12">
      <c r="A12" s="2" t="inlineStr">
        <is>
          <t>Taux de change (IDR pour 1 EUR)</t>
        </is>
      </c>
      <c r="B12" s="3" t="n">
        <v>20788.62</v>
      </c>
    </row>
    <row r="13">
      <c r="A13" s="2" t="inlineStr">
        <is>
          <t>Taxes gouvernementales (% du prix client)</t>
        </is>
      </c>
      <c r="B13" s="5" t="n">
        <v>0.05</v>
      </c>
    </row>
    <row r="14">
      <c r="A14" s="2" t="inlineStr">
        <is>
          <t>Honoraires du notaire (% du prix client)</t>
        </is>
      </c>
      <c r="B14" s="5" t="n">
        <v>0.01</v>
      </c>
    </row>
    <row r="15">
      <c r="A15" s="2" t="inlineStr">
        <is>
          <t>Honoraires du notaire - forfait minimum (IDR)</t>
        </is>
      </c>
      <c r="B15" s="4" t="n">
        <v>20000000</v>
      </c>
    </row>
    <row r="16">
      <c r="A16" s="2" t="inlineStr">
        <is>
          <t>Frais de geometre (EUR)</t>
        </is>
      </c>
      <c r="B16" s="3" t="n">
        <v>1000</v>
      </c>
    </row>
    <row r="17">
      <c r="A17" s="2" t="inlineStr">
        <is>
          <t>Taux d'acompte (appel de fonds)</t>
        </is>
      </c>
      <c r="B17" s="5" t="n">
        <v>0.1</v>
      </c>
    </row>
    <row r="19">
      <c r="A19" s="1" t="inlineStr">
        <is>
          <t>DETAIL DU CALCUL</t>
        </is>
      </c>
    </row>
    <row r="20">
      <c r="A20" s="1" t="inlineStr">
        <is>
          <t>Poste</t>
        </is>
      </c>
      <c r="B20" s="1" t="inlineStr">
        <is>
          <t>Surface (ares)</t>
        </is>
      </c>
      <c r="C20" s="1" t="inlineStr">
        <is>
          <t>Prix unitaire (IDR / are)</t>
        </is>
      </c>
      <c r="D20" s="1" t="inlineStr">
        <is>
          <t>Montant IDR</t>
        </is>
      </c>
      <c r="E20" s="1" t="inlineStr">
        <is>
          <t>Montant EUR</t>
        </is>
      </c>
    </row>
    <row r="21">
      <c r="A21" s="2" t="inlineStr">
        <is>
          <t>Prix du terrain - PRIX VENDEUR</t>
        </is>
      </c>
      <c r="B21" s="3">
        <f>$B$8</f>
        <v/>
      </c>
      <c r="C21" s="4">
        <f>$B$10</f>
        <v/>
      </c>
      <c r="D21" s="4">
        <f>B21*C21</f>
        <v/>
      </c>
      <c r="E21" s="3">
        <f>D21/$B$12</f>
        <v/>
      </c>
    </row>
    <row r="22">
      <c r="A22" s="2" t="inlineStr">
        <is>
          <t>Prix du terrain - PRIX CLIENT (avec commission)</t>
        </is>
      </c>
      <c r="B22" s="3">
        <f>$B$8</f>
        <v/>
      </c>
      <c r="C22" s="4">
        <f>$B$11</f>
        <v/>
      </c>
      <c r="D22" s="4">
        <f>B22*C22</f>
        <v/>
      </c>
      <c r="E22" s="3">
        <f>D22/$B$12</f>
        <v/>
      </c>
    </row>
    <row r="23">
      <c r="A23" s="2" t="inlineStr">
        <is>
          <t>dont commission agence (ecart vendeur / client)</t>
        </is>
      </c>
      <c r="D23" s="4">
        <f>D22-D21</f>
        <v/>
      </c>
      <c r="E23" s="3">
        <f>D23/$B$12</f>
        <v/>
      </c>
    </row>
    <row r="25">
      <c r="A25" s="1" t="inlineStr">
        <is>
          <t>FRAIS ANNEXES</t>
        </is>
      </c>
    </row>
    <row r="26">
      <c r="A26" s="2" t="inlineStr">
        <is>
          <t>Taxes gouvernementales (5% du prix officiel)</t>
        </is>
      </c>
      <c r="C26" s="5">
        <f>$B$13</f>
        <v/>
      </c>
      <c r="D26" s="4">
        <f>D21*$B$13</f>
        <v/>
      </c>
      <c r="E26" s="3">
        <f>D26/$B$12</f>
        <v/>
      </c>
    </row>
    <row r="27">
      <c r="A27" s="2" t="inlineStr">
        <is>
          <t>Honoraires du notaire (1% du prix officiel, minimum 20 000 000 IDR)</t>
        </is>
      </c>
      <c r="C27" s="5">
        <f>IF(D21=0,0,D27/D21)</f>
        <v/>
      </c>
      <c r="D27" s="4">
        <f>MAX(D21*$B$14,$B$15)</f>
        <v/>
      </c>
      <c r="E27" s="3">
        <f>D27/$B$12</f>
        <v/>
      </c>
    </row>
    <row r="28">
      <c r="A28" s="2" t="inlineStr">
        <is>
          <t>Sous-total frais de notaire (taxes + honoraires)</t>
        </is>
      </c>
      <c r="C28" s="5">
        <f>IF(D21=0,0,D28/D21)</f>
        <v/>
      </c>
      <c r="D28" s="4">
        <f>D26+D27</f>
        <v/>
      </c>
      <c r="E28" s="3">
        <f>D28/$B$12</f>
        <v/>
      </c>
    </row>
    <row r="29">
      <c r="A29" s="2" t="inlineStr">
        <is>
          <t>Frais de geometre (forfait 1 000 EUR)</t>
        </is>
      </c>
      <c r="D29" s="4">
        <f>$B$16*$B$12</f>
        <v/>
      </c>
      <c r="E29" s="3">
        <f>$B$16</f>
        <v/>
      </c>
    </row>
    <row r="31">
      <c r="A31" s="1" t="inlineStr">
        <is>
          <t>TOTAL DE L'OPERATION POUR L'ACHETEUR</t>
        </is>
      </c>
      <c r="D31" s="6">
        <f>D22+D28+D29</f>
        <v/>
      </c>
      <c r="E31" s="7">
        <f>D31/$B$12</f>
        <v/>
      </c>
    </row>
    <row r="33">
      <c r="A33" s="1" t="inlineStr">
        <is>
          <t>APPEL DE FONDS</t>
        </is>
      </c>
    </row>
    <row r="34">
      <c r="A34" s="1" t="inlineStr">
        <is>
          <t>Acompte 10% du total de l'operation (reservation notaire)</t>
        </is>
      </c>
      <c r="C34" s="5">
        <f>$B$17</f>
        <v/>
      </c>
      <c r="D34" s="6">
        <f>D31*$B$17</f>
        <v/>
      </c>
      <c r="E34" s="7">
        <f>D34/$B$12</f>
        <v/>
      </c>
    </row>
    <row r="35">
      <c r="A35" s="2" t="inlineStr">
        <is>
          <t>Solde a regler apres acompte</t>
        </is>
      </c>
      <c r="D35" s="4">
        <f>D31-D34</f>
        <v/>
      </c>
      <c r="E35" s="3">
        <f>D35/$B$12</f>
        <v/>
      </c>
    </row>
    <row r="37">
      <c r="A37" s="2" t="inlineStr">
        <is>
          <t>Pour information : 10% du prix du terrain seul</t>
        </is>
      </c>
      <c r="D37" s="4">
        <f>D22*$B$17</f>
        <v/>
      </c>
      <c r="E37" s="3">
        <f>D37/$B$12</f>
        <v/>
      </c>
    </row>
    <row r="39">
      <c r="A39" s="1" t="inlineStr">
        <is>
          <t>NOTES / HYPOTHESES</t>
        </is>
      </c>
    </row>
    <row r="40">
      <c r="A40" s="2" t="inlineStr">
        <is>
          <t>1 are = 100 m2 -&gt; terrain de 600 m2.</t>
        </is>
      </c>
    </row>
    <row r="41">
      <c r="A41" s="2" t="inlineStr">
        <is>
          <t>Achat en FREEHOLD (pleine propriete) : prix exprime en IDR par are, sans duree. Les deux prix (lignes 10 et 11 des parametres) sont a saisir.</t>
        </is>
      </c>
    </row>
    <row r="42">
      <c r="A42" s="2" t="inlineStr">
        <is>
          <t>Exemple de saisie : 6 ares a 900 000 000 IDR/are = 5 400 000 000 IDR de prix de terrain.</t>
        </is>
      </c>
    </row>
    <row r="43">
      <c r="A43" s="2" t="inlineStr">
        <is>
          <t>Taux de change en B12 : reference BCE du 20/08/2026 (1 EUR = 20 788,62 IDR). A actualiser avant envoi au client.</t>
        </is>
      </c>
    </row>
    <row r="44">
      <c r="A44" s="2" t="inlineStr">
        <is>
          <t>Frais de notaire detailles : taxes gouvernementales 5% (B13) + honoraires du notaire 1% (B14).</t>
        </is>
      </c>
    </row>
    <row r="45">
      <c r="A45" s="2" t="inlineStr">
        <is>
          <t>Honoraires du notaire : le pourcentage s'applique sauf s'il donne moins que le forfait minimum de 20 000 000 IDR (B15), auquel cas le forfait est retenu (formule MAX en D27).</t>
        </is>
      </c>
    </row>
    <row r="46">
      <c r="A46" s="2" t="inlineStr">
        <is>
          <t>Les frais de notaire portent sur le PRIX OFFICIEL, c'est-a-dire le prix vendeur declare a l'acte (ligne 21), et non sur le prix client commission comprise.</t>
        </is>
      </c>
    </row>
    <row r="47">
      <c r="A47" s="2" t="inlineStr">
        <is>
          <t>Frais de geometre saisis en EUR (B16) et convertis en IDR au taux B12.</t>
        </is>
      </c>
    </row>
    <row r="48">
      <c r="A48" s="2" t="inlineStr">
        <is>
          <t>Seules les cellules de parametres (colonne B, lignes 8 a 17) sont a saisir : tout le reste du tableau est calcule par formules et se met a jour automatiquement.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2026-09-02T12:48:37Z</dcterms:created>
  <dcterms:modified xsi:type="dcterms:W3CDTF">2026-09-02T12:48:37Z</dcterms:modified>
</cp:coreProperties>
</file>